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eismic\"/>
    </mc:Choice>
  </mc:AlternateContent>
  <bookViews>
    <workbookView xWindow="0" yWindow="0" windowWidth="28800" windowHeight="12435" activeTab="2"/>
  </bookViews>
  <sheets>
    <sheet name="Depth-Distance" sheetId="14" r:id="rId1"/>
    <sheet name="Magnitude-Distance" sheetId="15" r:id="rId2"/>
    <sheet name="Magnitude-Time" sheetId="16" r:id="rId3"/>
    <sheet name="Legend" sheetId="13" r:id="rId4"/>
    <sheet name="Data" sheetId="1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3" l="1"/>
  <c r="H5" i="13"/>
  <c r="H6" i="13" s="1"/>
  <c r="H7" i="13" s="1"/>
  <c r="H8" i="13" s="1"/>
  <c r="H9" i="13" s="1"/>
  <c r="H3" i="13"/>
  <c r="L3" i="13"/>
  <c r="L4" i="13" s="1"/>
  <c r="L5" i="13" s="1"/>
  <c r="L6" i="13" s="1"/>
  <c r="L7" i="13" s="1"/>
  <c r="L8" i="13" s="1"/>
  <c r="L9" i="13" s="1"/>
  <c r="B4" i="13"/>
  <c r="B5" i="13" s="1"/>
  <c r="B6" i="13" s="1"/>
  <c r="B7" i="13" s="1"/>
  <c r="B8" i="13" s="1"/>
  <c r="B9" i="13" s="1"/>
  <c r="B10" i="13" s="1"/>
  <c r="B3" i="13"/>
  <c r="K162" i="1" l="1"/>
  <c r="L162" i="1"/>
  <c r="K160" i="1" l="1"/>
  <c r="L160" i="1"/>
  <c r="K161" i="1"/>
  <c r="L161" i="1"/>
  <c r="K159" i="1" l="1"/>
  <c r="L159" i="1"/>
  <c r="K158" i="1" l="1"/>
  <c r="L158" i="1"/>
  <c r="K155" i="1" l="1"/>
  <c r="L155" i="1"/>
  <c r="K156" i="1"/>
  <c r="L156" i="1"/>
  <c r="K157" i="1"/>
  <c r="L157" i="1"/>
  <c r="K154" i="1" l="1"/>
  <c r="L154" i="1"/>
  <c r="K148" i="1" l="1"/>
  <c r="L148" i="1"/>
  <c r="K149" i="1"/>
  <c r="L149" i="1"/>
  <c r="K150" i="1"/>
  <c r="L150" i="1"/>
  <c r="K151" i="1"/>
  <c r="L151" i="1"/>
  <c r="K152" i="1"/>
  <c r="L152" i="1"/>
  <c r="K153" i="1"/>
  <c r="L153" i="1"/>
  <c r="K145" i="1" l="1"/>
  <c r="L145" i="1"/>
  <c r="K146" i="1"/>
  <c r="L146" i="1"/>
  <c r="K147" i="1"/>
  <c r="L147" i="1"/>
  <c r="K142" i="1" l="1"/>
  <c r="L142" i="1"/>
  <c r="K143" i="1"/>
  <c r="L143" i="1"/>
  <c r="K144" i="1"/>
  <c r="L144" i="1"/>
  <c r="K141" i="1" l="1"/>
  <c r="L141" i="1"/>
  <c r="K140" i="1" l="1"/>
  <c r="L140" i="1"/>
  <c r="K138" i="1" l="1"/>
  <c r="L138" i="1"/>
  <c r="K139" i="1"/>
  <c r="L139" i="1"/>
  <c r="G115" i="1" l="1"/>
  <c r="K115" i="1"/>
  <c r="L115" i="1"/>
  <c r="G114" i="1"/>
  <c r="K114" i="1"/>
  <c r="L114" i="1"/>
  <c r="K137" i="1" l="1"/>
  <c r="L137" i="1"/>
  <c r="L136" i="1" l="1"/>
  <c r="K136" i="1"/>
  <c r="K134" i="1" l="1"/>
  <c r="L134" i="1"/>
  <c r="K135" i="1"/>
  <c r="L135" i="1"/>
  <c r="K132" i="1" l="1"/>
  <c r="L132" i="1"/>
  <c r="K133" i="1"/>
  <c r="L133" i="1"/>
  <c r="K131" i="1" l="1"/>
  <c r="L131" i="1"/>
  <c r="K105" i="1" l="1"/>
  <c r="L105" i="1"/>
  <c r="K104" i="1"/>
  <c r="L104" i="1"/>
  <c r="K130" i="1" l="1"/>
  <c r="L130" i="1"/>
  <c r="K128" i="1"/>
  <c r="L128" i="1"/>
  <c r="K129" i="1"/>
  <c r="L129" i="1"/>
  <c r="K127" i="1" l="1"/>
  <c r="L127" i="1"/>
  <c r="K126" i="1"/>
  <c r="L126" i="1"/>
  <c r="K125" i="1" l="1"/>
  <c r="L125" i="1"/>
  <c r="K123" i="1" l="1"/>
  <c r="L123" i="1"/>
  <c r="K124" i="1"/>
  <c r="L124" i="1"/>
  <c r="K121" i="1" l="1"/>
  <c r="L121" i="1"/>
  <c r="K122" i="1"/>
  <c r="L122" i="1"/>
  <c r="K120" i="1" l="1"/>
  <c r="L120" i="1"/>
  <c r="K119" i="1" l="1"/>
  <c r="L119" i="1"/>
  <c r="K118" i="1" l="1"/>
  <c r="L118" i="1"/>
  <c r="K117" i="1" l="1"/>
  <c r="L117" i="1"/>
  <c r="K116" i="1" l="1"/>
  <c r="L116" i="1"/>
  <c r="G116" i="1"/>
  <c r="K106" i="1"/>
  <c r="K107" i="1"/>
  <c r="K108" i="1"/>
  <c r="K109" i="1"/>
  <c r="K110" i="1"/>
  <c r="K111" i="1"/>
  <c r="K112" i="1"/>
  <c r="K113" i="1"/>
  <c r="L107" i="1"/>
  <c r="L108" i="1"/>
  <c r="L109" i="1"/>
  <c r="L110" i="1"/>
  <c r="L111" i="1"/>
  <c r="L112" i="1"/>
  <c r="L113" i="1"/>
  <c r="G113" i="1"/>
  <c r="G112" i="1"/>
  <c r="G111" i="1"/>
  <c r="L106" i="1" l="1"/>
  <c r="K103" i="1" l="1"/>
  <c r="L103" i="1"/>
  <c r="K101" i="1" l="1"/>
  <c r="L101" i="1"/>
  <c r="K102" i="1"/>
  <c r="L102" i="1"/>
  <c r="K98" i="1" l="1"/>
  <c r="L98" i="1"/>
  <c r="K99" i="1"/>
  <c r="L99" i="1"/>
  <c r="K100" i="1"/>
  <c r="L100" i="1"/>
  <c r="L97" i="1" l="1"/>
  <c r="K97" i="1"/>
  <c r="K96" i="1"/>
  <c r="L96" i="1"/>
  <c r="L92" i="1" l="1"/>
  <c r="K92" i="1"/>
  <c r="L91" i="1"/>
  <c r="K91" i="1"/>
  <c r="K93" i="1"/>
  <c r="L93" i="1"/>
  <c r="K94" i="1"/>
  <c r="L94" i="1"/>
  <c r="K95" i="1"/>
  <c r="L95" i="1"/>
  <c r="K88" i="1" l="1"/>
  <c r="L88" i="1"/>
  <c r="K89" i="1"/>
  <c r="L89" i="1"/>
  <c r="K90" i="1"/>
  <c r="L90" i="1"/>
  <c r="L86" i="1" l="1"/>
  <c r="L87" i="1"/>
  <c r="K86" i="1"/>
  <c r="K87" i="1"/>
  <c r="K81" i="1" l="1"/>
  <c r="L81" i="1"/>
  <c r="K82" i="1"/>
  <c r="L82" i="1"/>
  <c r="K80" i="1"/>
  <c r="L80" i="1"/>
  <c r="K85" i="1"/>
  <c r="L85" i="1"/>
  <c r="K84" i="1"/>
  <c r="L84" i="1"/>
  <c r="K83" i="1"/>
  <c r="L83" i="1"/>
  <c r="K79" i="1" l="1"/>
  <c r="L79" i="1"/>
  <c r="K78" i="1" l="1"/>
  <c r="L78" i="1"/>
  <c r="K77" i="1" l="1"/>
  <c r="L77" i="1"/>
  <c r="K76" i="1"/>
  <c r="L76" i="1"/>
  <c r="K75" i="1" l="1"/>
  <c r="L75" i="1"/>
  <c r="K74" i="1" l="1"/>
  <c r="L74" i="1"/>
  <c r="K73" i="1"/>
  <c r="L73" i="1"/>
  <c r="K72" i="1"/>
  <c r="L72" i="1"/>
  <c r="K71" i="1" l="1"/>
  <c r="L71" i="1"/>
  <c r="K70" i="1" l="1"/>
  <c r="L70" i="1"/>
  <c r="K69" i="1" l="1"/>
  <c r="L69" i="1"/>
  <c r="K68" i="1" l="1"/>
  <c r="L68" i="1"/>
  <c r="K67" i="1"/>
  <c r="L67" i="1"/>
  <c r="K66" i="1" l="1"/>
  <c r="L66" i="1"/>
  <c r="K65" i="1" l="1"/>
  <c r="L65" i="1"/>
  <c r="K64" i="1"/>
  <c r="L64" i="1"/>
  <c r="K63" i="1" l="1"/>
  <c r="L63" i="1"/>
  <c r="K62" i="1"/>
  <c r="L62" i="1"/>
  <c r="L61" i="1" l="1"/>
  <c r="K61" i="1"/>
  <c r="L60" i="1" l="1"/>
  <c r="K60" i="1"/>
  <c r="L59" i="1" l="1"/>
  <c r="L58" i="1"/>
  <c r="L57" i="1"/>
  <c r="K59" i="1"/>
  <c r="K58" i="1"/>
  <c r="K57" i="1"/>
  <c r="L35" i="1" l="1"/>
  <c r="L36" i="1"/>
  <c r="L37" i="1"/>
  <c r="L38" i="1"/>
  <c r="L41" i="1"/>
  <c r="L40" i="1"/>
  <c r="L39" i="1"/>
  <c r="L42" i="1"/>
  <c r="L43" i="1"/>
  <c r="L44" i="1"/>
  <c r="L46" i="1"/>
  <c r="L45" i="1"/>
  <c r="L47" i="1"/>
  <c r="L48" i="1"/>
  <c r="L51" i="1"/>
  <c r="L50" i="1"/>
  <c r="L49" i="1"/>
  <c r="L52" i="1"/>
  <c r="L53" i="1"/>
  <c r="L54" i="1"/>
  <c r="L56" i="1"/>
  <c r="L55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K56" i="1" l="1"/>
  <c r="K55" i="1"/>
  <c r="K54" i="1" l="1"/>
  <c r="K53" i="1" l="1"/>
  <c r="K52" i="1" l="1"/>
  <c r="L2" i="1" l="1"/>
  <c r="K51" i="1" l="1"/>
  <c r="K50" i="1"/>
  <c r="K49" i="1"/>
  <c r="K48" i="1" l="1"/>
  <c r="K47" i="1" l="1"/>
  <c r="K46" i="1" l="1"/>
  <c r="K45" i="1"/>
  <c r="K44" i="1" l="1"/>
  <c r="K43" i="1" l="1"/>
  <c r="K42" i="1" l="1"/>
  <c r="K41" i="1" l="1"/>
  <c r="K40" i="1"/>
  <c r="K39" i="1"/>
  <c r="K37" i="1" l="1"/>
  <c r="K38" i="1"/>
  <c r="K36" i="1" l="1"/>
  <c r="K35" i="1"/>
  <c r="K34" i="1"/>
  <c r="K33" i="1"/>
  <c r="K32" i="1"/>
  <c r="K31" i="1"/>
  <c r="K30" i="1"/>
  <c r="K29" i="1"/>
  <c r="K28" i="1" l="1"/>
  <c r="K8" i="1" l="1"/>
  <c r="K12" i="1"/>
  <c r="K2" i="1"/>
  <c r="K3" i="1"/>
  <c r="K4" i="1"/>
  <c r="K5" i="1"/>
  <c r="K6" i="1"/>
  <c r="K9" i="1"/>
  <c r="K10" i="1"/>
  <c r="K1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7" i="1"/>
</calcChain>
</file>

<file path=xl/sharedStrings.xml><?xml version="1.0" encoding="utf-8"?>
<sst xmlns="http://schemas.openxmlformats.org/spreadsheetml/2006/main" count="369" uniqueCount="327">
  <si>
    <t>18km SSE of Lone Pine, CA</t>
  </si>
  <si>
    <t>Magnitude</t>
  </si>
  <si>
    <t>Description</t>
  </si>
  <si>
    <t>Latitude</t>
  </si>
  <si>
    <t>Longitude</t>
  </si>
  <si>
    <t>Depth (km)</t>
  </si>
  <si>
    <t>Date-Time</t>
  </si>
  <si>
    <t>Distance (km)</t>
  </si>
  <si>
    <t>Degrees</t>
  </si>
  <si>
    <t>URL</t>
  </si>
  <si>
    <t>https://earthquake.usgs.gov/earthquakes/eventpage/ci39493944/executive</t>
  </si>
  <si>
    <t>https://earthquake.usgs.gov/earthquakes/eventpage/us7000aabt/executive</t>
  </si>
  <si>
    <t>https://earthquake.usgs.gov/earthquakes/eventpage/us7000aavx/executive</t>
  </si>
  <si>
    <t>https://earthquake.usgs.gov/earthquakes/eventpage/us7000abmk/executive</t>
  </si>
  <si>
    <t>https://earthquake.usgs.gov/earthquakes/eventpage/us7000abxv/executive</t>
  </si>
  <si>
    <t>N Atlantic West of Lorient</t>
  </si>
  <si>
    <t>https://www.emsc-csem.org/Earthquake/earthquake.php?id=871687</t>
  </si>
  <si>
    <t>13 km S of Marmaris, Turkey</t>
  </si>
  <si>
    <t>https://earthquake.usgs.gov/earthquakes/eventpage/us7000adtk/executive</t>
  </si>
  <si>
    <t>105 km E of Shikotan, Russia</t>
  </si>
  <si>
    <t>https://earthquake.usgs.gov/earthquakes/eventpage/us7000agh1/executive</t>
  </si>
  <si>
    <t>219 km S of Sand Point, Alaska</t>
  </si>
  <si>
    <t>https://earthquake.usgs.gov/earthquakes/eventpage/us7000ai7p/executive</t>
  </si>
  <si>
    <t>33 km ENE of Port-Olry, Vanuatu</t>
  </si>
  <si>
    <t>https://earthquake.usgs.gov/earthquakes/eventpage/us7000aid9/executive</t>
  </si>
  <si>
    <t>246 km E of Port Blair, India</t>
  </si>
  <si>
    <t>https://earthquake.usgs.gov/earthquakes/eventpage/us7000aqj0/executive</t>
  </si>
  <si>
    <t>https://earthquake.usgs.gov/earthquakes/eventpage/us7000aq5u/executive</t>
  </si>
  <si>
    <t>2 km SSE of Iquique, Chile</t>
  </si>
  <si>
    <t>https://earthquake.usgs.gov/earthquakes/eventpage/us7000aq5p/executive</t>
  </si>
  <si>
    <t>114 km NNW of Popondetta, Papua New Guinea</t>
  </si>
  <si>
    <t>https://earthquake.usgs.gov/earthquakes/eventpage/us7000aq3e/executive</t>
  </si>
  <si>
    <t>https://earthquake.usgs.gov/earthquakes/eventpage/us7000apd0/executive</t>
  </si>
  <si>
    <t>https://earthquake.usgs.gov/earthquakes/eventpage/us7000anrx/executive</t>
  </si>
  <si>
    <t>73 km NW of Port-Vila, Vanuatu</t>
  </si>
  <si>
    <t>https://earthquake.usgs.gov/earthquakes/eventpage/us7000an1a/executive</t>
  </si>
  <si>
    <t>117 km E of Mutsu, Japan</t>
  </si>
  <si>
    <t>https://earthquake.usgs.gov/earthquakes/eventpage/us7000amj1/executive</t>
  </si>
  <si>
    <t>6 km W of El Crucero, Nicaragua</t>
  </si>
  <si>
    <t>https://earthquake.usgs.gov/earthquakes/eventpage/us7000amh4/executive</t>
  </si>
  <si>
    <t>263 km SSE of Alo, Wallis and Futuna</t>
  </si>
  <si>
    <t>https://earthquake.usgs.gov/earthquakes/eventpage/us7000amf2/executive</t>
  </si>
  <si>
    <t>Hokkaido, Japan region</t>
  </si>
  <si>
    <t>https://earthquake.usgs.gov/earthquakes/eventpage/us7000am8y/executive</t>
  </si>
  <si>
    <t>141 km SSW of Hihifo, Tonga</t>
  </si>
  <si>
    <t>https://earthquake.usgs.gov/earthquakes/eventpage/us7000alja/executive</t>
  </si>
  <si>
    <t>https://earthquake.usgs.gov/earthquakes/eventpage/us7000akjy/executive</t>
  </si>
  <si>
    <t>108 km SSE of Akhiok, Alaska</t>
  </si>
  <si>
    <t>https://earthquake.usgs.gov/earthquakes/eventpage/ak0208q8qvl8/executive</t>
  </si>
  <si>
    <t>98 km N of Batang, Indonesia</t>
  </si>
  <si>
    <t>https://earthquake.usgs.gov/earthquakes/eventpage/us7000aj3w/executive</t>
  </si>
  <si>
    <t>6 km W of Isangel, Vanuatu</t>
  </si>
  <si>
    <t>https://earthquake.usgs.gov/earthquakes/eventpage/us7000afhl/executive</t>
  </si>
  <si>
    <t>278 km SE of Hotan, China</t>
  </si>
  <si>
    <t>38 km SE of Hasaki, Japan</t>
  </si>
  <si>
    <t>138 km ENE of Kuril'sk, Russia</t>
  </si>
  <si>
    <t>South of the Fiji Islands</t>
  </si>
  <si>
    <t>51 km SSW of Kuril'sk, Russia</t>
  </si>
  <si>
    <t>13 km NW of Galmarmara, Turkey</t>
  </si>
  <si>
    <t>11 km SSE of Azalp, Turkey</t>
  </si>
  <si>
    <t>70 km WSW of Rio Grande, Panama</t>
  </si>
  <si>
    <t>Fiji region</t>
  </si>
  <si>
    <t>https://earthquake.usgs.gov/earthquakes/eventpage/us7000asms/executive</t>
  </si>
  <si>
    <t>69 km S of Sand Point, Alaska</t>
  </si>
  <si>
    <t>https://earthquake.usgs.gov/earthquakes/eventpage/us7000at0f/executive</t>
  </si>
  <si>
    <t>98 km SSE of Perryville, Alaska</t>
  </si>
  <si>
    <t>https://earthquake.usgs.gov/earthquakes/eventpage/ak0209djmxho/executive</t>
  </si>
  <si>
    <t>72 km E of Sand Point, Alaska</t>
  </si>
  <si>
    <t>https://earthquake.usgs.gov/earthquakes/eventpage/us7000asy0/executive</t>
  </si>
  <si>
    <t>90 km WSW of Port-Olry, Vanuatu</t>
  </si>
  <si>
    <t>https://earthquake.usgs.gov/earthquakes/eventpage/us7000asxc/executive</t>
  </si>
  <si>
    <t>123 km SE of Sand Point, Alaska</t>
  </si>
  <si>
    <t>https://earthquake.usgs.gov/earthquakes/eventpage/us7000aswr/executive</t>
  </si>
  <si>
    <t>103 km ESE of Sand Point, Alaska</t>
  </si>
  <si>
    <t>https://earthquake.usgs.gov/earthquakes/eventpage/us7000asx4/executive</t>
  </si>
  <si>
    <t>105 km SSE of Perryville, Alaska</t>
  </si>
  <si>
    <t>https://earthquake.usgs.gov/earthquakes/eventpage/us7000asvb/executive</t>
  </si>
  <si>
    <t>24 km ESE of Albania, Colombia</t>
  </si>
  <si>
    <t>https://earthquake.usgs.gov/earthquakes/eventpage/us7000assn/executive</t>
  </si>
  <si>
    <t>76 km S of Ivanof Bay, Alaska</t>
  </si>
  <si>
    <t>https://earthquake.usgs.gov/earthquakes/eventpage/us6000b29h/executive</t>
  </si>
  <si>
    <t>western Xizang</t>
  </si>
  <si>
    <t>https://earthquake.usgs.gov/earthquakes/eventpage/us6000b26j/executive</t>
  </si>
  <si>
    <t>56 km SSW of Sand Point, Alaska</t>
  </si>
  <si>
    <t>https://earthquake.usgs.gov/earthquakes/eventpage/us6000b355/executive</t>
  </si>
  <si>
    <t>56 km ESE of Sand Point, Alaska</t>
  </si>
  <si>
    <t>https://earthquake.usgs.gov/earthquakes/eventpage/us6000b2le/executive</t>
  </si>
  <si>
    <t>https://earthquake.usgs.gov/earthquakes/eventpage/us6000b2l7/executive</t>
  </si>
  <si>
    <t>47 km SSW of Sand Point, Alaska</t>
  </si>
  <si>
    <t>https://earthquake.usgs.gov/earthquakes/eventpage/us6000b3e9/executive</t>
  </si>
  <si>
    <t>https://earthquake.usgs.gov/earthquakes/eventpage/us6000b45f/executive</t>
  </si>
  <si>
    <t>61 km SSE of Sand Point, Alaska</t>
  </si>
  <si>
    <t>https://earthquake.usgs.gov/earthquakes/eventpage/us6000b4hr/executive</t>
  </si>
  <si>
    <t>66 km SW of Sand Point, Alaska</t>
  </si>
  <si>
    <t>https://earthquake.usgs.gov/earthquakes/eventpage/us6000b56k/executive</t>
  </si>
  <si>
    <t>26 km S of Sand Point, Alaska</t>
  </si>
  <si>
    <t>https://earthquake.usgs.gov/earthquakes/eventpage/us6000b4yh/executive</t>
  </si>
  <si>
    <t>39 km S of Sand Point, Alaska</t>
  </si>
  <si>
    <t>https://earthquake.usgs.gov/earthquakes/eventpage/us6000b5ad/executive</t>
  </si>
  <si>
    <t>https://earthquake.usgs.gov/earthquakes/eventpage/us6000b5if/executive</t>
  </si>
  <si>
    <t>75 km SSW of Sand Point, Alaska</t>
  </si>
  <si>
    <t>https://earthquake.usgs.gov/earthquakes/eventpage/us6000b62p/executive</t>
  </si>
  <si>
    <t>53 km ENE of Oxapampa, Peru</t>
  </si>
  <si>
    <t>https://earthquake.usgs.gov/earthquakes/eventpage/us6000b608/executive</t>
  </si>
  <si>
    <t>41 km SSE of Sand Point, Alaska</t>
  </si>
  <si>
    <t>https://earthquake.usgs.gov/earthquakes/eventpage/us6000b5zl/executive</t>
  </si>
  <si>
    <t>First arrival</t>
  </si>
  <si>
    <t>132 km SSE of Perryville, Alaska</t>
  </si>
  <si>
    <t>https://earthquake.usgs.gov/earthquakes/eventpage/ak0209qvi9kl/executive</t>
  </si>
  <si>
    <t>66 km SE of Neiafu, Tonga</t>
  </si>
  <si>
    <t>https://earthquake.usgs.gov/earthquakes/eventpage/us6000b72l/executive</t>
  </si>
  <si>
    <t>10 km WSW of Polloc, Philippines</t>
  </si>
  <si>
    <t>https://earthquake.usgs.gov/earthquakes/eventpage/us6000b80p/executive</t>
  </si>
  <si>
    <t>https://earthquake.usgs.gov/earthquakes/eventpage/us6000b7wg/executive</t>
  </si>
  <si>
    <t>211 km SSW of ‘Ohonua, Tonga</t>
  </si>
  <si>
    <t>https://earthquake.usgs.gov/earthquakes/eventpage/us6000b84u/executive</t>
  </si>
  <si>
    <t>53 km E of Luganville, Vanuatu</t>
  </si>
  <si>
    <t>https://earthquake.usgs.gov/earthquakes/eventpage/us6000b9hf/executive</t>
  </si>
  <si>
    <t>88 km SE of King Cove, Alaska</t>
  </si>
  <si>
    <t>https://earthquake.usgs.gov/earthquakes/eventpage/us6000b9r9/executive</t>
  </si>
  <si>
    <t>Vanuatu</t>
  </si>
  <si>
    <t>https://earthquake.usgs.gov/earthquakes/eventpage/us6000b9mv/executive</t>
  </si>
  <si>
    <t>11 km NNW of Ojiya, Japan</t>
  </si>
  <si>
    <t>https://earthquake.usgs.gov/earthquakes/eventpage/us6000b9yh/executive</t>
  </si>
  <si>
    <t>59 km SSE of Vilyuchinsk, Russia</t>
  </si>
  <si>
    <t>https://earthquake.usgs.gov/earthquakes/eventpage/us6000bafa/executive</t>
  </si>
  <si>
    <t>southeast of the Loyalty Islands</t>
  </si>
  <si>
    <t>Banda Sea</t>
  </si>
  <si>
    <t>northern Mid-Atlantic Ridge</t>
  </si>
  <si>
    <t>Reykjanes Ridge</t>
  </si>
  <si>
    <t>south of Alaska</t>
  </si>
  <si>
    <t>central Mid-Atlantic Ridge</t>
  </si>
  <si>
    <t>Pacific-Antarctic Ridge</t>
  </si>
  <si>
    <t>67 km ESE of King Cove, Alaska</t>
  </si>
  <si>
    <t>https://earthquake.usgs.gov/earthquakes/eventpage/us6000bb4r/executive</t>
  </si>
  <si>
    <t>https://earthquake.usgs.gov/earthquakes/eventpage/ak020a5p89cv/executive</t>
  </si>
  <si>
    <t>https://earthquake.usgs.gov/earthquakes/eventpage/us6000bbh7/executive</t>
  </si>
  <si>
    <t>4 km SE of Sparta, North Carolina</t>
  </si>
  <si>
    <t>https://earthquake.usgs.gov/earthquakes/eventpage/se60324281/executive</t>
  </si>
  <si>
    <t>120 km SE of Perryville, Alaska</t>
  </si>
  <si>
    <t>https://earthquake.usgs.gov/earthquakes/eventpage/ak020a7dzfzp/executive</t>
  </si>
  <si>
    <t>228 km SSW of Severo-Kuril’sk, Russia</t>
  </si>
  <si>
    <t>https://earthquake.usgs.gov/earthquakes/eventpage/us6000bdgz/executive</t>
  </si>
  <si>
    <t>66 km ESE of Vikindu, Tanzania</t>
  </si>
  <si>
    <t>https://earthquake.usgs.gov/earthquakes/eventpage/us6000bdg8/executive</t>
  </si>
  <si>
    <t>55 km SSW of Surab, Pakistan</t>
  </si>
  <si>
    <t>https://earthquake.usgs.gov/earthquakes/eventpage/us6000bdq8/executive</t>
  </si>
  <si>
    <t>158 km ESE of Akutan, Alaska</t>
  </si>
  <si>
    <t>https://earthquake.usgs.gov/earthquakes/eventpage/us6000bduv/executive</t>
  </si>
  <si>
    <t>6 km NW of Urville-Nacqueville, France</t>
  </si>
  <si>
    <t>https://www.emsc-csem.org/Earthquake/earthquake.php?id=885826</t>
  </si>
  <si>
    <t>245 km ESE of Atka, Alaska</t>
  </si>
  <si>
    <t>https://earthquake.usgs.gov/earthquakes/eventpage/us6000bfpw/executive</t>
  </si>
  <si>
    <t>238 km E of Levuka, Fiji</t>
  </si>
  <si>
    <t>https://earthquake.usgs.gov/earthquakes/eventpage/us6000bfwe/executive</t>
  </si>
  <si>
    <t>51 km SSE of Ýdra, Greece</t>
  </si>
  <si>
    <t>https://earthquake.usgs.gov/earthquakes/eventpage/us6000bfuq/executive</t>
  </si>
  <si>
    <t>127 km SE of Perryville, Alaska</t>
  </si>
  <si>
    <t>https://earthquake.usgs.gov/earthquakes/eventpage/ak020amc11hi/executive</t>
  </si>
  <si>
    <t>126 km WSW of Bengkulu, Indonesia</t>
  </si>
  <si>
    <t>https://earthquake.usgs.gov/earthquakes/eventpage/us6000bgvu/executive</t>
  </si>
  <si>
    <t>https://earthquake.usgs.gov/earthquakes/eventpage/us6000bgv6/executive</t>
  </si>
  <si>
    <t>44 km SSE of Sand Point, Alaska</t>
  </si>
  <si>
    <t>https://earthquake.usgs.gov/earthquakes/eventpage/us6000bhbu/executive</t>
  </si>
  <si>
    <t>220 km SSE of Katabu, Indonesia</t>
  </si>
  <si>
    <t>https://earthquake.usgs.gov/earthquakes/eventpage/us6000bi4p/executive</t>
  </si>
  <si>
    <t>54 km NW of Port-Vila, Vanuatu</t>
  </si>
  <si>
    <t>https://earthquake.usgs.gov/earthquakes/eventpage/us6000bjil/executive</t>
  </si>
  <si>
    <t>30 km NW of Rumonge, Burundi</t>
  </si>
  <si>
    <t>https://earthquake.usgs.gov/earthquakes/eventpage/us6000bjrj/executive</t>
  </si>
  <si>
    <t>52 km NNW of Port-Vila, Vanuatu</t>
  </si>
  <si>
    <t>11 km WNW of Papayal, Peru</t>
  </si>
  <si>
    <t>https://earthquake.usgs.gov/earthquakes/eventpage/us7000bcgc/executive</t>
  </si>
  <si>
    <t>71 km SW of ‘Ohonua, Tonga</t>
  </si>
  <si>
    <t>https://earthquake.usgs.gov/earthquakes/eventpage/us7000bccm/executive</t>
  </si>
  <si>
    <t>3 km ESE of Jacó, Costa Rica</t>
  </si>
  <si>
    <t>https://earthquake.usgs.gov/earthquakes/eventpage/us7000bcbv/executive</t>
  </si>
  <si>
    <t>279 km ENE of Olonkinbyen, Svalbard and Jan Mayen</t>
  </si>
  <si>
    <t>https://earthquake.usgs.gov/earthquakes/eventpage/us7000bd4g/executive</t>
  </si>
  <si>
    <t>123 km SW of Leava, Wallis and Futuna</t>
  </si>
  <si>
    <t>https://earthquake.usgs.gov/earthquakes/eventpage/us7000be5c/executive</t>
  </si>
  <si>
    <t>42 km NE of Mohr, Iran</t>
  </si>
  <si>
    <t>https://earthquake.usgs.gov/earthquakes/eventpage/us7000bf5e/executive</t>
  </si>
  <si>
    <t>77 km NNW of Port-Vila, Vanuatu</t>
  </si>
  <si>
    <t>https://earthquake.usgs.gov/earthquakes/eventpage/us7000bf3r/executive</t>
  </si>
  <si>
    <t>https://earthquake.usgs.gov/earthquakes/eventpage/us7000bf3k/executive</t>
  </si>
  <si>
    <t>78 km NW of Vallenar, Chile</t>
  </si>
  <si>
    <t>https://earthquake.usgs.gov/earthquakes/eventpage/us7000bfjr/executive</t>
  </si>
  <si>
    <t>65 km SW of Palana, Russia</t>
  </si>
  <si>
    <t>https://earthquake.usgs.gov/earthquakes/eventpage/us7000bfij/executive</t>
  </si>
  <si>
    <t>https://earthquake.usgs.gov/earthquakes/eventpage/us7000bffs/executive</t>
  </si>
  <si>
    <t>PORTREATH,CORNWALL</t>
  </si>
  <si>
    <t>https://earthquakes.bgs.ac.uk/earthquakes/recent_uk_events.html</t>
  </si>
  <si>
    <t>English Channel 18km S of Plymouth</t>
  </si>
  <si>
    <t>32 km SE of Nemuro, Japan</t>
  </si>
  <si>
    <t>https://earthquake.usgs.gov/earthquakes/eventpage/us7000bgh8/executive</t>
  </si>
  <si>
    <t>Spain</t>
  </si>
  <si>
    <t>https://www.emsc-csem.org/Earthquake/europe/</t>
  </si>
  <si>
    <t>https://earthquake.usgs.gov/earthquakes/eventpage/us7000biu8/executive</t>
  </si>
  <si>
    <t>https://earthquake.usgs.gov/earthquakes/eventpage/us7000biu4/executive</t>
  </si>
  <si>
    <t>101 km NW of Port-Vila, Vanuatu</t>
  </si>
  <si>
    <t>https://earthquake.usgs.gov/earthquakes/eventpage/us7000birm/executive</t>
  </si>
  <si>
    <t>65 km NNE of Port-Vila, Vanuatu</t>
  </si>
  <si>
    <t>https://earthquake.usgs.gov/earthquakes/eventpage/us7000bj71/executive</t>
  </si>
  <si>
    <t>73 km NNE of Port-Vila, Vanuatu</t>
  </si>
  <si>
    <t>https://earthquake.usgs.gov/earthquakes/eventpage/us7000bj6y/executive</t>
  </si>
  <si>
    <t>197 km SSE of Amahai, Indonesia</t>
  </si>
  <si>
    <t>https://earthquake.usgs.gov/earthquakes/eventpage/us7000bjgb/executive</t>
  </si>
  <si>
    <t>83 km NNE of Tocopilla, Chile</t>
  </si>
  <si>
    <t>https://earthquake.usgs.gov/earthquakes/eventpage/us7000blm2/executive</t>
  </si>
  <si>
    <t>57 km SE of Ōfunato, Japan</t>
  </si>
  <si>
    <t>https://earthquake.usgs.gov/earthquakes/eventpage/us7000bm9m/executive</t>
  </si>
  <si>
    <t>279 km E of Levuka, Fiji</t>
  </si>
  <si>
    <t>https://earthquake.usgs.gov/earthquakes/eventpage/us7000bm9g/executive</t>
  </si>
  <si>
    <t>84 km NW of Port-Vila, Vanuatu</t>
  </si>
  <si>
    <t>https://earthquake.usgs.gov/earthquakes/eventpage/us7000bmcx/executive</t>
  </si>
  <si>
    <t>209 km NE of Lospalos, Timor Leste</t>
  </si>
  <si>
    <t>https://earthquake.usgs.gov/earthquakes/eventpage/us7000bmip/executive</t>
  </si>
  <si>
    <t>France</t>
  </si>
  <si>
    <t>https://www.emsc-csem.org/Earthquake/earthquake.php?id=902005</t>
  </si>
  <si>
    <t>https://www.emsc-csem.org/Earthquake/earthquake.php?id=902278</t>
  </si>
  <si>
    <t>https://www.emsc-csem.org/Earthquake/earthquake.php?id=902222</t>
  </si>
  <si>
    <t>https://www.emsc-csem.org/Earthquake/earthquake.php?id=902188</t>
  </si>
  <si>
    <t>https://www.emsc-csem.org/Earthquake/earthquake.php?id=902043</t>
  </si>
  <si>
    <t>https://www.emsc-csem.org/Earthquake/earthquake.php?id=901954</t>
  </si>
  <si>
    <t>https://earthquake.usgs.gov/earthquakes/eventpage/us7000bmuy/executive</t>
  </si>
  <si>
    <t>13 km WNW of Esso, Russia</t>
  </si>
  <si>
    <t>https://earthquake.usgs.gov/earthquakes/eventpage/us7000bnd1/executive</t>
  </si>
  <si>
    <t>10 km NW of Aguas Verdes, Peru</t>
  </si>
  <si>
    <t>https://earthquake.usgs.gov/earthquakes/eventpage/us7000bnff/executive</t>
  </si>
  <si>
    <t>11 km SW of Kodāri̇̄, Nepal</t>
  </si>
  <si>
    <t>https://earthquake.usgs.gov/earthquakes/eventpage/us7000bnsh/executive</t>
  </si>
  <si>
    <t>https://earthquake.usgs.gov/earthquakes/eventpage/us7000bnvp/executive</t>
  </si>
  <si>
    <t>https://www.emsc-csem.org/Earthquake/earthquake.php?id=902915</t>
  </si>
  <si>
    <t>https://earthquake.usgs.gov/earthquakes/eventpage/us7000bp8n/executive</t>
  </si>
  <si>
    <t>7 km S of Belisario Domínguez, Mexico</t>
  </si>
  <si>
    <t>https://earthquake.usgs.gov/earthquakes/eventpage/us7000bp7s/executive</t>
  </si>
  <si>
    <t>259 km SSE of Alo, Wallis and Futuna</t>
  </si>
  <si>
    <t>https://earthquake.usgs.gov/earthquakes/eventpage/us7000bphn/executive</t>
  </si>
  <si>
    <t>https://earthquake.usgs.gov/earthquakes/eventpage/us7000bpvt/executive</t>
  </si>
  <si>
    <t>https://earthquake.usgs.gov/earthquakes/eventpage/us7000bq10/executive</t>
  </si>
  <si>
    <t>16 km E of Pýrgos, Greece</t>
  </si>
  <si>
    <t>https://earthquake.usgs.gov/earthquakes/eventpage/us6000bzj4/executive</t>
  </si>
  <si>
    <t>Leighton Buzzard</t>
  </si>
  <si>
    <t>https://earthquakes.bgs.ac.uk/earthquakes/recent_events/20200922083201.html</t>
  </si>
  <si>
    <t>https://earthquakes.bgs.ac.uk/earthquakes/recent_events/20200908084501.html</t>
  </si>
  <si>
    <t>127 km SSW of Nikolski, Alaska</t>
  </si>
  <si>
    <t>https://earthquake.usgs.gov/earthquakes/eventpage/us6000c1tj/executive</t>
  </si>
  <si>
    <t>31 km SSE of Karyes, Greece</t>
  </si>
  <si>
    <t>https://earthquake.usgs.gov/earthquakes/eventpage/us6000c1rq/executive</t>
  </si>
  <si>
    <t>112 km SSW of Nikolski, Alaska</t>
  </si>
  <si>
    <t>https://earthquake.usgs.gov/earthquakes/eventpage/us6000c20q/executive</t>
  </si>
  <si>
    <t>37 km NNE of Pangai, Tonga</t>
  </si>
  <si>
    <t>https://earthquake.usgs.gov/earthquakes/eventpage/us6000c3kz/executive</t>
  </si>
  <si>
    <t>0 km NNW of Huarte-Uharte, Spain</t>
  </si>
  <si>
    <t>https://earthquake.usgs.gov/earthquakes/eventpage/us6000c3e9/executive</t>
  </si>
  <si>
    <t>16 km W of Kéfalos, Greece</t>
  </si>
  <si>
    <t>https://earthquake.usgs.gov/earthquakes/eventpage/us6000c3tv/executive</t>
  </si>
  <si>
    <t>72 km SW of Atka, Alaska</t>
  </si>
  <si>
    <t>https://earthquake.usgs.gov/earthquakes/eventpage/us6000c3t7/executive</t>
  </si>
  <si>
    <t>PYRENEES</t>
  </si>
  <si>
    <t>https://www.emsc-csem.org/Earthquake/earthquake.php?id=907096</t>
  </si>
  <si>
    <t>eastern Greenland</t>
  </si>
  <si>
    <t>https://earthquake.usgs.gov/earthquakes/eventpage/us6000c56t/executive</t>
  </si>
  <si>
    <t>232 km E of Levuka, Fiji</t>
  </si>
  <si>
    <t>https://earthquake.usgs.gov/earthquakes/eventpage/us6000c617/executive</t>
  </si>
  <si>
    <t>68 km SE of Sand Point, Alaska</t>
  </si>
  <si>
    <t>https://earthquake.usgs.gov/earthquakes/eventpage/us6000c5zm/executive</t>
  </si>
  <si>
    <t>47 km ESE of Nikolski, Alaska</t>
  </si>
  <si>
    <t>https://earthquake.usgs.gov/earthquakes/eventpage/us6000c6rg/executive</t>
  </si>
  <si>
    <t>112 km WNW of Port-Vila, Vanuatu</t>
  </si>
  <si>
    <t>https://earthquake.usgs.gov/earthquakes/eventpage/us6000c760/executive</t>
  </si>
  <si>
    <t>92 km WSW of Türkmenbaşy, Turkmenistan</t>
  </si>
  <si>
    <t>https://earthquake.usgs.gov/earthquakes/eventpage/us6000c7ra/executive</t>
  </si>
  <si>
    <t>46 km N of Palekastro, Greece</t>
  </si>
  <si>
    <t>https://earthquake.usgs.gov/earthquakes/eventpage/us6000c7nd/executive</t>
  </si>
  <si>
    <t>45 km N of Palekastro, Greece</t>
  </si>
  <si>
    <t>https://earthquake.usgs.gov/earthquakes/eventpage/us6000c7m8/executive</t>
  </si>
  <si>
    <t>107 km SSE of Sand Point, Alaska</t>
  </si>
  <si>
    <t>https://earthquake.usgs.gov/earthquakes/eventpage/us6000c9lf/executive</t>
  </si>
  <si>
    <t>133 km SSE of Sand Point, Alaska</t>
  </si>
  <si>
    <t>https://earthquake.usgs.gov/earthquakes/eventpage/us6000c9km/executive</t>
  </si>
  <si>
    <t>91 km SE of Sand Point, Alaska</t>
  </si>
  <si>
    <t>https://earthquake.usgs.gov/earthquakes/eventpage/us6000c9hg/executive</t>
  </si>
  <si>
    <t>10 km WSW of Hafnarfjörður, Iceland</t>
  </si>
  <si>
    <t>https://earthquake.usgs.gov/earthquakes/eventpage/us6000ca0k/executive</t>
  </si>
  <si>
    <t>128 km SSE of Sand Point, Alaska</t>
  </si>
  <si>
    <t>https://earthquake.usgs.gov/earthquakes/eventpage/us6000c9u7/executive</t>
  </si>
  <si>
    <t>92 km SE of Sand Point, Alaska</t>
  </si>
  <si>
    <t>https://earthquake.usgs.gov/earthquakes/eventpage/us6000c9lb/executive</t>
  </si>
  <si>
    <t>97 km SSE of Sand Point, Alaska</t>
  </si>
  <si>
    <t>183 km ESE of Neiafu, Tonga</t>
  </si>
  <si>
    <t>https://earthquake.usgs.gov/earthquakes/eventpage/us6000cafc/executive</t>
  </si>
  <si>
    <t>https://earthquake.usgs.gov/earthquakes/eventpage/us6000cbar/executive</t>
  </si>
  <si>
    <t>148 km WNW of Haveluloto, Tonga</t>
  </si>
  <si>
    <t>https://earthquake.usgs.gov/earthquakes/eventpage/us6000cb8b/executive</t>
  </si>
  <si>
    <t>52 km SSW of Lithakiá, Greece</t>
  </si>
  <si>
    <t>https://earthquake.usgs.gov/earthquakes/eventpage/us6000cb28/executive</t>
  </si>
  <si>
    <t>https://earthquake.usgs.gov/earthquakes/eventpage/us6000cbt3/executive</t>
  </si>
  <si>
    <t>153 km SSE of Sand Point, Alaska</t>
  </si>
  <si>
    <t>https://earthquake.usgs.gov/earthquakes/eventpage/us6000cdrk/executive</t>
  </si>
  <si>
    <t>102 km SSE of Sand Point, Alaska</t>
  </si>
  <si>
    <t>https://earthquake.usgs.gov/earthquakes/eventpage/us7000c7v4/executive</t>
  </si>
  <si>
    <t>https://earthquake.usgs.gov/earthquakes/eventpage/us7000c7tm/executive</t>
  </si>
  <si>
    <t>15 km NNE of Néon Karlovásion, Greece</t>
  </si>
  <si>
    <t>https://earthquake.usgs.gov/earthquakes/eventpage/us7000c7y0/executive</t>
  </si>
  <si>
    <t>Distance</t>
  </si>
  <si>
    <t>Depth</t>
  </si>
  <si>
    <t>Label</t>
  </si>
  <si>
    <t>M9</t>
  </si>
  <si>
    <t>M8</t>
  </si>
  <si>
    <t>M7</t>
  </si>
  <si>
    <t>M6</t>
  </si>
  <si>
    <t>M5</t>
  </si>
  <si>
    <t>M4</t>
  </si>
  <si>
    <t>M3</t>
  </si>
  <si>
    <t>M2</t>
  </si>
  <si>
    <t>M1</t>
  </si>
  <si>
    <t>600+ km</t>
  </si>
  <si>
    <t>500-599 km</t>
  </si>
  <si>
    <t>400-499 km</t>
  </si>
  <si>
    <t>300-399 km</t>
  </si>
  <si>
    <t>200-299 km</t>
  </si>
  <si>
    <t>100-199 km</t>
  </si>
  <si>
    <t>25-99 km</t>
  </si>
  <si>
    <t>0-24 km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</si>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</sst>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h:mm:ss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7"/>
      <color rgb="FF000000"/>
      <name val="Verdana"/>
      <family val="2"/>
    </font>
    <font>
      <b/>
      <i/>
      <u/>
      <sz val="11"/>
      <color theme="1"/>
      <name val="Calibri"/>
      <family val="2"/>
      <scheme val="minor"/>
    </font>
    <font>
      <b/>
      <sz val="11"/>
      <color theme="10"/>
      <name val="Calibri"/>
      <family val="2"/>
      <scheme val="minor"/>
    </font>
    <font>
      <b/>
      <sz val="10"/>
      <color rgb="FF333333"/>
      <name val="Source Sans Pro"/>
      <family val="2"/>
    </font>
    <font>
      <b/>
      <sz val="9"/>
      <color rgb="FF00000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medium">
        <color rgb="FF999999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2" fillId="0" borderId="0" xfId="0" quotePrefix="1" applyFont="1"/>
    <xf numFmtId="0" fontId="3" fillId="0" borderId="0" xfId="1" applyFont="1"/>
    <xf numFmtId="164" fontId="2" fillId="0" borderId="0" xfId="0" applyNumberFormat="1" applyFont="1"/>
    <xf numFmtId="2" fontId="2" fillId="0" borderId="0" xfId="0" applyNumberFormat="1" applyFont="1"/>
    <xf numFmtId="0" fontId="0" fillId="0" borderId="0" xfId="0" applyFont="1"/>
    <xf numFmtId="22" fontId="0" fillId="0" borderId="0" xfId="0" applyNumberFormat="1"/>
    <xf numFmtId="47" fontId="4" fillId="0" borderId="0" xfId="0" applyNumberFormat="1" applyFont="1"/>
    <xf numFmtId="0" fontId="5" fillId="0" borderId="0" xfId="0" applyFont="1"/>
    <xf numFmtId="47" fontId="5" fillId="0" borderId="0" xfId="0" applyNumberFormat="1" applyFont="1"/>
    <xf numFmtId="47" fontId="2" fillId="0" borderId="0" xfId="0" applyNumberFormat="1" applyFont="1"/>
    <xf numFmtId="0" fontId="6" fillId="0" borderId="0" xfId="1" applyFont="1"/>
    <xf numFmtId="0" fontId="4" fillId="0" borderId="0" xfId="0" applyFont="1"/>
    <xf numFmtId="0" fontId="7" fillId="0" borderId="1" xfId="0" applyFont="1" applyBorder="1" applyAlignment="1">
      <alignment horizontal="left" vertical="center" wrapText="1" indent="1"/>
    </xf>
    <xf numFmtId="47" fontId="7" fillId="0" borderId="1" xfId="0" applyNumberFormat="1" applyFont="1" applyBorder="1" applyAlignment="1">
      <alignment horizontal="left" vertical="center" wrapText="1" indent="1"/>
    </xf>
    <xf numFmtId="0" fontId="8" fillId="0" borderId="0" xfId="0" applyFont="1"/>
    <xf numFmtId="22" fontId="2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Earthquakes</a:t>
            </a:r>
            <a:r>
              <a:rPr lang="en-GB" baseline="0"/>
              <a:t> detected in St Day, Cornwall on Raspberry Shake RAD67 </a:t>
            </a:r>
            <a:br>
              <a:rPr lang="en-GB" baseline="0"/>
            </a:br>
            <a:r>
              <a:rPr lang="en-GB" baseline="0"/>
              <a:t>from 16th July to 31st October 2020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8043958277188E-2"/>
          <c:y val="0.1134873401562367"/>
          <c:w val="0.9091750422318392"/>
          <c:h val="0.79350392570938866"/>
        </c:manualLayout>
      </c:layout>
      <c:scatterChart>
        <c:scatterStyle val="lineMarker"/>
        <c:varyColors val="0"/>
        <c:ser>
          <c:idx val="1"/>
          <c:order val="0"/>
          <c:tx>
            <c:strRef>
              <c:f>Legend!$B$1</c:f>
              <c:strCache>
                <c:ptCount val="1"/>
                <c:pt idx="0">
                  <c:v>Depth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85000"/>
                </a:schemeClr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6"/>
              <c:spPr>
                <a:solidFill>
                  <a:srgbClr val="FF99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4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12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6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4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circle"/>
              <c:size val="2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Legend!$A$2:$A$10</c:f>
              <c:numCache>
                <c:formatCode>General</c:formatCode>
                <c:ptCount val="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</c:numCache>
            </c:numRef>
          </c:xVal>
          <c:yVal>
            <c:numRef>
              <c:f>Legend!$B$2:$B$10</c:f>
              <c:numCache>
                <c:formatCode>General</c:formatCode>
                <c:ptCount val="9"/>
                <c:pt idx="0">
                  <c:v>625</c:v>
                </c:pt>
                <c:pt idx="1">
                  <c:v>590</c:v>
                </c:pt>
                <c:pt idx="2">
                  <c:v>555</c:v>
                </c:pt>
                <c:pt idx="3">
                  <c:v>520</c:v>
                </c:pt>
                <c:pt idx="4">
                  <c:v>485</c:v>
                </c:pt>
                <c:pt idx="5">
                  <c:v>450</c:v>
                </c:pt>
                <c:pt idx="6">
                  <c:v>415</c:v>
                </c:pt>
                <c:pt idx="7">
                  <c:v>380</c:v>
                </c:pt>
                <c:pt idx="8">
                  <c:v>345</c:v>
                </c:pt>
              </c:numCache>
            </c:numRef>
          </c:yVal>
          <c:smooth val="0"/>
        </c:ser>
        <c:ser>
          <c:idx val="0"/>
          <c:order val="1"/>
          <c:tx>
            <c:v>Detected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7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circle"/>
              <c:size val="7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0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1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2"/>
            <c:marker>
              <c:symbol val="circle"/>
              <c:size val="12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3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4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5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6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7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8"/>
            <c:marker>
              <c:symbol val="circle"/>
              <c:size val="14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9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0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1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2"/>
            <c:marker>
              <c:symbol val="circle"/>
              <c:size val="10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3"/>
            <c:marker>
              <c:symbol val="circle"/>
              <c:size val="7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4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5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6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7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8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9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0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1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2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3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4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5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6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7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8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9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0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1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2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3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4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5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6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7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8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9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0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1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2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3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4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5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6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7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8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9"/>
            <c:marker>
              <c:symbol val="circle"/>
              <c:size val="4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0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1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2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3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4"/>
            <c:marker>
              <c:symbol val="circle"/>
              <c:size val="7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5"/>
            <c:marker>
              <c:symbol val="circle"/>
              <c:size val="12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6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7"/>
            <c:marker>
              <c:symbol val="circle"/>
              <c:size val="12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8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9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0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1"/>
            <c:marker>
              <c:symbol val="circle"/>
              <c:size val="10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2"/>
            <c:marker>
              <c:symbol val="circle"/>
              <c:size val="8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3"/>
            <c:marker>
              <c:symbol val="circle"/>
              <c:size val="9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4"/>
            <c:marker>
              <c:symbol val="circle"/>
              <c:size val="7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5"/>
            <c:marker>
              <c:symbol val="circle"/>
              <c:size val="8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6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87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88"/>
            <c:marker>
              <c:symbol val="circle"/>
              <c:size val="11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89"/>
            <c:marker>
              <c:symbol val="circle"/>
              <c:size val="2"/>
              <c:spPr>
                <a:solidFill>
                  <a:srgbClr val="99CC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0"/>
            <c:marker>
              <c:symbol val="circle"/>
              <c:size val="2"/>
              <c:spPr>
                <a:solidFill>
                  <a:srgbClr val="99CC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1"/>
            <c:marker>
              <c:symbol val="circle"/>
              <c:size val="12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2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3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4"/>
            <c:marker>
              <c:symbol val="circle"/>
              <c:size val="8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5"/>
            <c:marker>
              <c:symbol val="circle"/>
              <c:size val="5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6"/>
            <c:marker>
              <c:symbol val="circle"/>
              <c:size val="11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7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8"/>
            <c:marker>
              <c:symbol val="circle"/>
              <c:size val="10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99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0"/>
            <c:marker>
              <c:symbol val="circle"/>
              <c:size val="10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1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2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3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4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5"/>
            <c:marker>
              <c:symbol val="circle"/>
              <c:size val="11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6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7"/>
            <c:marker>
              <c:symbol val="circle"/>
              <c:size val="10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8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09"/>
            <c:marker>
              <c:symbol val="circle"/>
              <c:size val="4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0"/>
            <c:marker>
              <c:symbol val="circle"/>
              <c:size val="3"/>
              <c:spPr>
                <a:solidFill>
                  <a:srgbClr val="FF99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1"/>
            <c:marker>
              <c:symbol val="circle"/>
              <c:size val="4"/>
              <c:spPr>
                <a:solidFill>
                  <a:srgbClr val="FF99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2"/>
            <c:marker>
              <c:symbol val="circle"/>
              <c:size val="4"/>
              <c:spPr>
                <a:solidFill>
                  <a:srgbClr val="FF99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3"/>
            <c:marker>
              <c:symbol val="circle"/>
              <c:size val="3"/>
              <c:spPr>
                <a:solidFill>
                  <a:srgbClr val="FF99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4"/>
            <c:marker>
              <c:symbol val="circle"/>
              <c:size val="4"/>
              <c:spPr>
                <a:solidFill>
                  <a:srgbClr val="FF99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5"/>
            <c:marker>
              <c:symbol val="circle"/>
              <c:size val="7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6"/>
            <c:marker>
              <c:symbol val="circle"/>
              <c:size val="11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7"/>
            <c:marker>
              <c:symbol val="circle"/>
              <c:size val="8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8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19"/>
            <c:marker>
              <c:symbol val="circle"/>
              <c:size val="5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0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1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2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3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4"/>
            <c:marker>
              <c:symbol val="circle"/>
              <c:size val="12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5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6"/>
            <c:marker>
              <c:symbol val="circle"/>
              <c:size val="8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7"/>
            <c:marker>
              <c:symbol val="circle"/>
              <c:size val="4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8"/>
            <c:marker>
              <c:symbol val="circle"/>
              <c:size val="5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29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0"/>
            <c:marker>
              <c:symbol val="circle"/>
              <c:size val="11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1"/>
            <c:marker>
              <c:symbol val="circle"/>
              <c:size val="7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2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3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4"/>
            <c:marker>
              <c:symbol val="circle"/>
              <c:size val="6"/>
              <c:spPr>
                <a:solidFill>
                  <a:srgbClr val="CC99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5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6"/>
            <c:marker>
              <c:symbol val="circle"/>
              <c:size val="10"/>
              <c:spPr>
                <a:solidFill>
                  <a:srgbClr val="33CCCC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7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8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39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0"/>
            <c:marker>
              <c:symbol val="circle"/>
              <c:size val="8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1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2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3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4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5"/>
            <c:marker>
              <c:symbol val="circle"/>
              <c:size val="13"/>
              <c:spPr>
                <a:solidFill>
                  <a:srgbClr val="99CC00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6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7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8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49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0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1"/>
            <c:marker>
              <c:symbol val="circle"/>
              <c:size val="13"/>
              <c:spPr>
                <a:solidFill>
                  <a:srgbClr val="99CC00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2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3"/>
            <c:marker>
              <c:symbol val="circle"/>
              <c:size val="7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4"/>
            <c:marker>
              <c:symbol val="circle"/>
              <c:size val="10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5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6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7"/>
            <c:marker>
              <c:symbol val="circle"/>
              <c:size val="7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8"/>
            <c:marker>
              <c:symbol val="circle"/>
              <c:size val="8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59"/>
            <c:marker>
              <c:symbol val="circle"/>
              <c:size val="9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60"/>
            <c:marker>
              <c:symbol val="circle"/>
              <c:size val="12"/>
              <c:spPr>
                <a:solidFill>
                  <a:srgbClr val="99CC00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89"/>
            <c:marker>
              <c:symbol val="circle"/>
              <c:size val="5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90"/>
            <c:marker>
              <c:symbol val="circle"/>
              <c:size val="5"/>
              <c:spPr>
                <a:solidFill>
                  <a:srgbClr val="FFCC99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91"/>
            <c:marker>
              <c:symbol val="circle"/>
              <c:size val="5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92"/>
            <c:marker>
              <c:symbol val="circle"/>
              <c:size val="5"/>
              <c:spPr>
                <a:solidFill>
                  <a:srgbClr val="3366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93"/>
            <c:marker>
              <c:symbol val="circle"/>
              <c:size val="5"/>
              <c:spPr>
                <a:solidFill>
                  <a:srgbClr val="99CC00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dPt>
            <c:idx val="194"/>
            <c:marker>
              <c:symbol val="circle"/>
              <c:size val="5"/>
              <c:spPr>
                <a:solidFill>
                  <a:srgbClr val="99CCFF"/>
                </a:solidFill>
                <a:ln w="3175">
                  <a:noFill/>
                  <a:prstDash val="solid"/>
                </a:ln>
                <a:effectLst/>
              </c:spPr>
            </c:marker>
            <c:bubble3D val="0"/>
          </c:dPt>
          <c:xVal>
            <c:numRef>
              <c:f>Data!$H$2:$H$162</c:f>
              <c:numCache>
                <c:formatCode>General</c:formatCode>
                <c:ptCount val="161"/>
                <c:pt idx="0">
                  <c:v>75.086625692799998</c:v>
                </c:pt>
                <c:pt idx="1">
                  <c:v>89.270748203799997</c:v>
                </c:pt>
                <c:pt idx="2">
                  <c:v>36.3010913763</c:v>
                </c:pt>
                <c:pt idx="3">
                  <c:v>62.015921575500002</c:v>
                </c:pt>
                <c:pt idx="4">
                  <c:v>25.869256543199999</c:v>
                </c:pt>
                <c:pt idx="5">
                  <c:v>2.71379520746</c:v>
                </c:pt>
                <c:pt idx="6">
                  <c:v>27.437413179899998</c:v>
                </c:pt>
                <c:pt idx="7">
                  <c:v>148.98367856300001</c:v>
                </c:pt>
                <c:pt idx="8">
                  <c:v>83.182885301799999</c:v>
                </c:pt>
                <c:pt idx="9">
                  <c:v>74.319200800499999</c:v>
                </c:pt>
                <c:pt idx="10">
                  <c:v>144.17318855400001</c:v>
                </c:pt>
                <c:pt idx="11">
                  <c:v>110.6570121</c:v>
                </c:pt>
                <c:pt idx="12">
                  <c:v>70.560283962200003</c:v>
                </c:pt>
                <c:pt idx="13">
                  <c:v>81.534356673999994</c:v>
                </c:pt>
                <c:pt idx="14">
                  <c:v>145.773135629</c:v>
                </c:pt>
                <c:pt idx="15">
                  <c:v>84.596676077699996</c:v>
                </c:pt>
                <c:pt idx="16">
                  <c:v>145.74216400500001</c:v>
                </c:pt>
                <c:pt idx="17">
                  <c:v>75.187318453800003</c:v>
                </c:pt>
                <c:pt idx="18">
                  <c:v>84.295199897000003</c:v>
                </c:pt>
                <c:pt idx="19">
                  <c:v>146.565575752</c:v>
                </c:pt>
                <c:pt idx="20">
                  <c:v>156.177844171</c:v>
                </c:pt>
                <c:pt idx="21">
                  <c:v>75.793974682799998</c:v>
                </c:pt>
                <c:pt idx="22">
                  <c:v>132.004133021</c:v>
                </c:pt>
                <c:pt idx="23">
                  <c:v>90.679408784499998</c:v>
                </c:pt>
                <c:pt idx="24">
                  <c:v>82.0094860337</c:v>
                </c:pt>
                <c:pt idx="25">
                  <c:v>87.076777499100004</c:v>
                </c:pt>
                <c:pt idx="26">
                  <c:v>150.13300273300001</c:v>
                </c:pt>
                <c:pt idx="27">
                  <c:v>67.021088768300004</c:v>
                </c:pt>
                <c:pt idx="28">
                  <c:v>72.403352270900001</c:v>
                </c:pt>
                <c:pt idx="29">
                  <c:v>72.585596394800007</c:v>
                </c:pt>
                <c:pt idx="30">
                  <c:v>72.771830620900005</c:v>
                </c:pt>
                <c:pt idx="31">
                  <c:v>144.48392733399999</c:v>
                </c:pt>
                <c:pt idx="32">
                  <c:v>72.362769629300004</c:v>
                </c:pt>
                <c:pt idx="33">
                  <c:v>72.398067491800006</c:v>
                </c:pt>
                <c:pt idx="34">
                  <c:v>73.039995302099996</c:v>
                </c:pt>
                <c:pt idx="35">
                  <c:v>66.343617057599999</c:v>
                </c:pt>
                <c:pt idx="36">
                  <c:v>72.353866461999999</c:v>
                </c:pt>
                <c:pt idx="37">
                  <c:v>66.308114322400002</c:v>
                </c:pt>
                <c:pt idx="38">
                  <c:v>72.398983691799998</c:v>
                </c:pt>
                <c:pt idx="39">
                  <c:v>72.9470323157</c:v>
                </c:pt>
                <c:pt idx="40">
                  <c:v>72.863485533100004</c:v>
                </c:pt>
                <c:pt idx="41">
                  <c:v>149.750504237</c:v>
                </c:pt>
                <c:pt idx="42">
                  <c:v>72.896091353599999</c:v>
                </c:pt>
                <c:pt idx="43">
                  <c:v>72.665483310499994</c:v>
                </c:pt>
                <c:pt idx="44">
                  <c:v>72.990758992699995</c:v>
                </c:pt>
                <c:pt idx="45">
                  <c:v>72.757753219600005</c:v>
                </c:pt>
                <c:pt idx="46">
                  <c:v>147.9614176</c:v>
                </c:pt>
                <c:pt idx="47">
                  <c:v>72.760497642900006</c:v>
                </c:pt>
                <c:pt idx="48">
                  <c:v>85.435991938900003</c:v>
                </c:pt>
                <c:pt idx="49">
                  <c:v>73.094439406000006</c:v>
                </c:pt>
                <c:pt idx="50">
                  <c:v>72.523411567099998</c:v>
                </c:pt>
                <c:pt idx="51">
                  <c:v>147.43367924500001</c:v>
                </c:pt>
                <c:pt idx="52">
                  <c:v>149.96810472300001</c:v>
                </c:pt>
                <c:pt idx="53">
                  <c:v>107.71606571</c:v>
                </c:pt>
                <c:pt idx="54">
                  <c:v>151.857952756</c:v>
                </c:pt>
                <c:pt idx="55">
                  <c:v>144.73069335900001</c:v>
                </c:pt>
                <c:pt idx="56">
                  <c:v>145.442477739</c:v>
                </c:pt>
                <c:pt idx="57">
                  <c:v>73.257240649400003</c:v>
                </c:pt>
                <c:pt idx="58">
                  <c:v>86.781500547600004</c:v>
                </c:pt>
                <c:pt idx="59">
                  <c:v>76.404134855199999</c:v>
                </c:pt>
                <c:pt idx="60">
                  <c:v>72.576019612099998</c:v>
                </c:pt>
                <c:pt idx="61">
                  <c:v>73.048450779299998</c:v>
                </c:pt>
                <c:pt idx="62">
                  <c:v>54.395815994499998</c:v>
                </c:pt>
                <c:pt idx="63">
                  <c:v>52.909119492099997</c:v>
                </c:pt>
                <c:pt idx="64">
                  <c:v>72.275269459699999</c:v>
                </c:pt>
                <c:pt idx="65">
                  <c:v>69.476237592800004</c:v>
                </c:pt>
                <c:pt idx="66">
                  <c:v>79.472849933099994</c:v>
                </c:pt>
                <c:pt idx="67">
                  <c:v>57.069884258400002</c:v>
                </c:pt>
                <c:pt idx="68">
                  <c:v>74.7744331862</c:v>
                </c:pt>
                <c:pt idx="69">
                  <c:v>2.25</c:v>
                </c:pt>
                <c:pt idx="70">
                  <c:v>77.957390418000003</c:v>
                </c:pt>
                <c:pt idx="71">
                  <c:v>24.571842555300002</c:v>
                </c:pt>
                <c:pt idx="72">
                  <c:v>147.381719981</c:v>
                </c:pt>
                <c:pt idx="73">
                  <c:v>72.325896135700006</c:v>
                </c:pt>
                <c:pt idx="74">
                  <c:v>150.71202323200001</c:v>
                </c:pt>
                <c:pt idx="75">
                  <c:v>103.74101873399999</c:v>
                </c:pt>
                <c:pt idx="76">
                  <c:v>72.777281780799996</c:v>
                </c:pt>
                <c:pt idx="77">
                  <c:v>119.095628507</c:v>
                </c:pt>
                <c:pt idx="78">
                  <c:v>146.65101436200001</c:v>
                </c:pt>
                <c:pt idx="79">
                  <c:v>146.63947412900001</c:v>
                </c:pt>
                <c:pt idx="80">
                  <c:v>61.585345347000001</c:v>
                </c:pt>
                <c:pt idx="81">
                  <c:v>75.879314159900005</c:v>
                </c:pt>
                <c:pt idx="82">
                  <c:v>150.563272001</c:v>
                </c:pt>
                <c:pt idx="83">
                  <c:v>84.0199934555</c:v>
                </c:pt>
                <c:pt idx="84">
                  <c:v>21.747204543599999</c:v>
                </c:pt>
                <c:pt idx="85">
                  <c:v>144.43335214800001</c:v>
                </c:pt>
                <c:pt idx="86">
                  <c:v>49.036370888</c:v>
                </c:pt>
                <c:pt idx="87">
                  <c:v>146.44931503800001</c:v>
                </c:pt>
                <c:pt idx="88">
                  <c:v>53.594155380799997</c:v>
                </c:pt>
                <c:pt idx="89">
                  <c:v>0.1</c:v>
                </c:pt>
                <c:pt idx="90">
                  <c:v>0.7</c:v>
                </c:pt>
                <c:pt idx="91">
                  <c:v>97.577244750899993</c:v>
                </c:pt>
                <c:pt idx="92">
                  <c:v>70.244389710099995</c:v>
                </c:pt>
                <c:pt idx="93">
                  <c:v>147.017797522</c:v>
                </c:pt>
                <c:pt idx="94">
                  <c:v>83.291739986799996</c:v>
                </c:pt>
                <c:pt idx="95">
                  <c:v>10</c:v>
                </c:pt>
                <c:pt idx="96">
                  <c:v>50.194891418099999</c:v>
                </c:pt>
                <c:pt idx="97">
                  <c:v>14.791234018000001</c:v>
                </c:pt>
                <c:pt idx="98">
                  <c:v>146.40343661200001</c:v>
                </c:pt>
                <c:pt idx="99">
                  <c:v>146.53944366799999</c:v>
                </c:pt>
                <c:pt idx="100">
                  <c:v>146.46765286600001</c:v>
                </c:pt>
                <c:pt idx="101">
                  <c:v>121.063842905</c:v>
                </c:pt>
                <c:pt idx="102">
                  <c:v>23.032005238899998</c:v>
                </c:pt>
                <c:pt idx="103">
                  <c:v>76.9944682812</c:v>
                </c:pt>
                <c:pt idx="104">
                  <c:v>147.14228393299999</c:v>
                </c:pt>
                <c:pt idx="105">
                  <c:v>91.490235407699998</c:v>
                </c:pt>
                <c:pt idx="106">
                  <c:v>146.524672815</c:v>
                </c:pt>
                <c:pt idx="107">
                  <c:v>86.506027020800005</c:v>
                </c:pt>
                <c:pt idx="108">
                  <c:v>122.38916417199999</c:v>
                </c:pt>
                <c:pt idx="109">
                  <c:v>2.44</c:v>
                </c:pt>
                <c:pt idx="110">
                  <c:v>2.42</c:v>
                </c:pt>
                <c:pt idx="111">
                  <c:v>2.42</c:v>
                </c:pt>
                <c:pt idx="112">
                  <c:v>2.42</c:v>
                </c:pt>
                <c:pt idx="113">
                  <c:v>2.42</c:v>
                </c:pt>
                <c:pt idx="114">
                  <c:v>3.42</c:v>
                </c:pt>
                <c:pt idx="115">
                  <c:v>149.99297805399999</c:v>
                </c:pt>
                <c:pt idx="116">
                  <c:v>72.941473844699999</c:v>
                </c:pt>
                <c:pt idx="117">
                  <c:v>83.213067473400002</c:v>
                </c:pt>
                <c:pt idx="118">
                  <c:v>69.585676918499999</c:v>
                </c:pt>
                <c:pt idx="119">
                  <c:v>2.6</c:v>
                </c:pt>
                <c:pt idx="120">
                  <c:v>151.96603819699999</c:v>
                </c:pt>
                <c:pt idx="121">
                  <c:v>49.8486856313</c:v>
                </c:pt>
                <c:pt idx="122">
                  <c:v>76.579708242799995</c:v>
                </c:pt>
                <c:pt idx="123">
                  <c:v>145.67356917800001</c:v>
                </c:pt>
                <c:pt idx="124">
                  <c:v>52.626785347899997</c:v>
                </c:pt>
                <c:pt idx="125">
                  <c:v>26.8405776942</c:v>
                </c:pt>
                <c:pt idx="126">
                  <c:v>122.514105019</c:v>
                </c:pt>
                <c:pt idx="127">
                  <c:v>3.31</c:v>
                </c:pt>
                <c:pt idx="128">
                  <c:v>3.29</c:v>
                </c:pt>
                <c:pt idx="129">
                  <c:v>76.8351850544</c:v>
                </c:pt>
                <c:pt idx="130">
                  <c:v>148.04602904699999</c:v>
                </c:pt>
                <c:pt idx="131">
                  <c:v>7.8008421338799998</c:v>
                </c:pt>
                <c:pt idx="132">
                  <c:v>26.5189305914</c:v>
                </c:pt>
                <c:pt idx="133">
                  <c:v>77.6589043476</c:v>
                </c:pt>
                <c:pt idx="134">
                  <c:v>7.8008421338799998</c:v>
                </c:pt>
                <c:pt idx="135">
                  <c:v>22.377979257100002</c:v>
                </c:pt>
                <c:pt idx="136">
                  <c:v>147.34378869899999</c:v>
                </c:pt>
                <c:pt idx="137">
                  <c:v>72.806353964099998</c:v>
                </c:pt>
                <c:pt idx="138">
                  <c:v>76.054350728200006</c:v>
                </c:pt>
                <c:pt idx="139">
                  <c:v>146.42111183599999</c:v>
                </c:pt>
                <c:pt idx="140">
                  <c:v>40.808028061800002</c:v>
                </c:pt>
                <c:pt idx="141">
                  <c:v>26.945587248399999</c:v>
                </c:pt>
                <c:pt idx="142">
                  <c:v>26.979068481900001</c:v>
                </c:pt>
                <c:pt idx="143">
                  <c:v>73.224697536299999</c:v>
                </c:pt>
                <c:pt idx="144">
                  <c:v>73.351591561500001</c:v>
                </c:pt>
                <c:pt idx="145">
                  <c:v>72.950469930599994</c:v>
                </c:pt>
                <c:pt idx="146">
                  <c:v>16.450474080500001</c:v>
                </c:pt>
                <c:pt idx="147">
                  <c:v>73.306374990799995</c:v>
                </c:pt>
                <c:pt idx="148">
                  <c:v>73.224697536299999</c:v>
                </c:pt>
                <c:pt idx="149">
                  <c:v>73.351591561500001</c:v>
                </c:pt>
                <c:pt idx="150">
                  <c:v>72.940366799200007</c:v>
                </c:pt>
                <c:pt idx="151">
                  <c:v>72.998939725400007</c:v>
                </c:pt>
                <c:pt idx="152">
                  <c:v>147.44828439400001</c:v>
                </c:pt>
                <c:pt idx="153">
                  <c:v>18.678595742399999</c:v>
                </c:pt>
                <c:pt idx="154">
                  <c:v>149.86790898699999</c:v>
                </c:pt>
                <c:pt idx="155">
                  <c:v>22.416416687600002</c:v>
                </c:pt>
                <c:pt idx="156">
                  <c:v>18.591295440700002</c:v>
                </c:pt>
                <c:pt idx="157">
                  <c:v>73.534133720100002</c:v>
                </c:pt>
                <c:pt idx="158">
                  <c:v>73.050540111100005</c:v>
                </c:pt>
                <c:pt idx="159">
                  <c:v>150.18284109499999</c:v>
                </c:pt>
                <c:pt idx="160">
                  <c:v>25.7859016291</c:v>
                </c:pt>
              </c:numCache>
            </c:numRef>
          </c:xVal>
          <c:yVal>
            <c:numRef>
              <c:f>Data!$E$2:$E$162</c:f>
              <c:numCache>
                <c:formatCode>0.00</c:formatCode>
                <c:ptCount val="161"/>
                <c:pt idx="0">
                  <c:v>4.66</c:v>
                </c:pt>
                <c:pt idx="1">
                  <c:v>28.88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2</c:v>
                </c:pt>
                <c:pt idx="6">
                  <c:v>62.26</c:v>
                </c:pt>
                <c:pt idx="7">
                  <c:v>98.54</c:v>
                </c:pt>
                <c:pt idx="8">
                  <c:v>35</c:v>
                </c:pt>
                <c:pt idx="9">
                  <c:v>10</c:v>
                </c:pt>
                <c:pt idx="10">
                  <c:v>120.52</c:v>
                </c:pt>
                <c:pt idx="11">
                  <c:v>538.73</c:v>
                </c:pt>
                <c:pt idx="12">
                  <c:v>3.4</c:v>
                </c:pt>
                <c:pt idx="13">
                  <c:v>131.87</c:v>
                </c:pt>
                <c:pt idx="14">
                  <c:v>132.62</c:v>
                </c:pt>
                <c:pt idx="15">
                  <c:v>41.08</c:v>
                </c:pt>
                <c:pt idx="16">
                  <c:v>10</c:v>
                </c:pt>
                <c:pt idx="17">
                  <c:v>158.76</c:v>
                </c:pt>
                <c:pt idx="18">
                  <c:v>46.16</c:v>
                </c:pt>
                <c:pt idx="19">
                  <c:v>10</c:v>
                </c:pt>
                <c:pt idx="20">
                  <c:v>608.89</c:v>
                </c:pt>
                <c:pt idx="21">
                  <c:v>5.66</c:v>
                </c:pt>
                <c:pt idx="22">
                  <c:v>79.790000000000006</c:v>
                </c:pt>
                <c:pt idx="23">
                  <c:v>73.819999999999993</c:v>
                </c:pt>
                <c:pt idx="24">
                  <c:v>133.86000000000001</c:v>
                </c:pt>
                <c:pt idx="25">
                  <c:v>13.82</c:v>
                </c:pt>
                <c:pt idx="26">
                  <c:v>602.12</c:v>
                </c:pt>
                <c:pt idx="27">
                  <c:v>89.3</c:v>
                </c:pt>
                <c:pt idx="28">
                  <c:v>28</c:v>
                </c:pt>
                <c:pt idx="29">
                  <c:v>17.670000000000002</c:v>
                </c:pt>
                <c:pt idx="30">
                  <c:v>26.21</c:v>
                </c:pt>
                <c:pt idx="31">
                  <c:v>47.86</c:v>
                </c:pt>
                <c:pt idx="32">
                  <c:v>36.71</c:v>
                </c:pt>
                <c:pt idx="33">
                  <c:v>34.799999999999997</c:v>
                </c:pt>
                <c:pt idx="34">
                  <c:v>35.46</c:v>
                </c:pt>
                <c:pt idx="35">
                  <c:v>10</c:v>
                </c:pt>
                <c:pt idx="36">
                  <c:v>34.56</c:v>
                </c:pt>
                <c:pt idx="37">
                  <c:v>10</c:v>
                </c:pt>
                <c:pt idx="38">
                  <c:v>39.54</c:v>
                </c:pt>
                <c:pt idx="39">
                  <c:v>38.92</c:v>
                </c:pt>
                <c:pt idx="40">
                  <c:v>43.02</c:v>
                </c:pt>
                <c:pt idx="41">
                  <c:v>565.95000000000005</c:v>
                </c:pt>
                <c:pt idx="42">
                  <c:v>35</c:v>
                </c:pt>
                <c:pt idx="43">
                  <c:v>44.13</c:v>
                </c:pt>
                <c:pt idx="44">
                  <c:v>41.26</c:v>
                </c:pt>
                <c:pt idx="45">
                  <c:v>40.46</c:v>
                </c:pt>
                <c:pt idx="46">
                  <c:v>541.24</c:v>
                </c:pt>
                <c:pt idx="47">
                  <c:v>40.32</c:v>
                </c:pt>
                <c:pt idx="48">
                  <c:v>47.58</c:v>
                </c:pt>
                <c:pt idx="49">
                  <c:v>37.119999999999997</c:v>
                </c:pt>
                <c:pt idx="50" formatCode="General">
                  <c:v>1.8</c:v>
                </c:pt>
                <c:pt idx="51" formatCode="General">
                  <c:v>10</c:v>
                </c:pt>
                <c:pt idx="52" formatCode="General">
                  <c:v>573.75</c:v>
                </c:pt>
                <c:pt idx="53" formatCode="General">
                  <c:v>479.56</c:v>
                </c:pt>
                <c:pt idx="54" formatCode="General">
                  <c:v>10</c:v>
                </c:pt>
                <c:pt idx="55" formatCode="General">
                  <c:v>131.24</c:v>
                </c:pt>
                <c:pt idx="56" formatCode="General">
                  <c:v>174.75</c:v>
                </c:pt>
                <c:pt idx="57" formatCode="General">
                  <c:v>4.7699999999999996</c:v>
                </c:pt>
                <c:pt idx="58" formatCode="General">
                  <c:v>177.42</c:v>
                </c:pt>
                <c:pt idx="59" formatCode="General">
                  <c:v>81.900000000000006</c:v>
                </c:pt>
                <c:pt idx="60" formatCode="General">
                  <c:v>24.7</c:v>
                </c:pt>
                <c:pt idx="61" formatCode="General">
                  <c:v>42.11</c:v>
                </c:pt>
                <c:pt idx="62" formatCode="General">
                  <c:v>3.7</c:v>
                </c:pt>
                <c:pt idx="63" formatCode="General">
                  <c:v>10</c:v>
                </c:pt>
                <c:pt idx="64" formatCode="General">
                  <c:v>32.6</c:v>
                </c:pt>
                <c:pt idx="65" formatCode="General">
                  <c:v>15.49</c:v>
                </c:pt>
                <c:pt idx="66" formatCode="General">
                  <c:v>45.86</c:v>
                </c:pt>
                <c:pt idx="67" formatCode="General">
                  <c:v>13.15</c:v>
                </c:pt>
                <c:pt idx="68" formatCode="General">
                  <c:v>10.43</c:v>
                </c:pt>
                <c:pt idx="69" formatCode="General">
                  <c:v>2</c:v>
                </c:pt>
                <c:pt idx="70" formatCode="General">
                  <c:v>10</c:v>
                </c:pt>
                <c:pt idx="71" formatCode="General">
                  <c:v>93.46</c:v>
                </c:pt>
                <c:pt idx="72" formatCode="General">
                  <c:v>592.67999999999995</c:v>
                </c:pt>
                <c:pt idx="73" formatCode="General">
                  <c:v>41.5</c:v>
                </c:pt>
                <c:pt idx="74" formatCode="General">
                  <c:v>605.52</c:v>
                </c:pt>
                <c:pt idx="75" formatCode="General">
                  <c:v>26</c:v>
                </c:pt>
                <c:pt idx="76" formatCode="General">
                  <c:v>45.41</c:v>
                </c:pt>
                <c:pt idx="77" formatCode="General">
                  <c:v>627.33000000000004</c:v>
                </c:pt>
                <c:pt idx="78" formatCode="General">
                  <c:v>10</c:v>
                </c:pt>
                <c:pt idx="79" formatCode="General">
                  <c:v>10.4</c:v>
                </c:pt>
                <c:pt idx="80" formatCode="General">
                  <c:v>9.14</c:v>
                </c:pt>
                <c:pt idx="81" formatCode="General">
                  <c:v>27.24</c:v>
                </c:pt>
                <c:pt idx="82" formatCode="General">
                  <c:v>42.49</c:v>
                </c:pt>
                <c:pt idx="83" formatCode="General">
                  <c:v>33.21</c:v>
                </c:pt>
                <c:pt idx="84" formatCode="General">
                  <c:v>10</c:v>
                </c:pt>
                <c:pt idx="85" formatCode="General">
                  <c:v>407.33</c:v>
                </c:pt>
                <c:pt idx="86" formatCode="General">
                  <c:v>10</c:v>
                </c:pt>
                <c:pt idx="87" formatCode="General">
                  <c:v>35</c:v>
                </c:pt>
                <c:pt idx="88" formatCode="General">
                  <c:v>10</c:v>
                </c:pt>
                <c:pt idx="89" formatCode="General">
                  <c:v>7</c:v>
                </c:pt>
                <c:pt idx="90" formatCode="General">
                  <c:v>10</c:v>
                </c:pt>
                <c:pt idx="91" formatCode="General">
                  <c:v>23</c:v>
                </c:pt>
                <c:pt idx="92" formatCode="General">
                  <c:v>10</c:v>
                </c:pt>
                <c:pt idx="93" formatCode="General">
                  <c:v>10</c:v>
                </c:pt>
                <c:pt idx="94" formatCode="General">
                  <c:v>55.92</c:v>
                </c:pt>
                <c:pt idx="95" formatCode="General">
                  <c:v>5</c:v>
                </c:pt>
                <c:pt idx="96" formatCode="General">
                  <c:v>10</c:v>
                </c:pt>
                <c:pt idx="97" formatCode="General">
                  <c:v>10</c:v>
                </c:pt>
                <c:pt idx="98" formatCode="General">
                  <c:v>8.24</c:v>
                </c:pt>
                <c:pt idx="99" formatCode="General">
                  <c:v>10</c:v>
                </c:pt>
                <c:pt idx="100" formatCode="General">
                  <c:v>10</c:v>
                </c:pt>
                <c:pt idx="101" formatCode="General">
                  <c:v>174.05</c:v>
                </c:pt>
                <c:pt idx="102" formatCode="General">
                  <c:v>10.76</c:v>
                </c:pt>
                <c:pt idx="103" formatCode="General">
                  <c:v>13.77</c:v>
                </c:pt>
                <c:pt idx="104" formatCode="General">
                  <c:v>556.57000000000005</c:v>
                </c:pt>
                <c:pt idx="105" formatCode="General">
                  <c:v>51</c:v>
                </c:pt>
                <c:pt idx="106" formatCode="General">
                  <c:v>10</c:v>
                </c:pt>
                <c:pt idx="107" formatCode="General">
                  <c:v>32.090000000000003</c:v>
                </c:pt>
                <c:pt idx="108" formatCode="General">
                  <c:v>140.81</c:v>
                </c:pt>
                <c:pt idx="109" formatCode="General">
                  <c:v>10</c:v>
                </c:pt>
                <c:pt idx="110" formatCode="General">
                  <c:v>14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10</c:v>
                </c:pt>
                <c:pt idx="114" formatCode="General">
                  <c:v>10</c:v>
                </c:pt>
                <c:pt idx="115" formatCode="General">
                  <c:v>550.21</c:v>
                </c:pt>
                <c:pt idx="116" formatCode="General">
                  <c:v>329.73</c:v>
                </c:pt>
                <c:pt idx="117" formatCode="General">
                  <c:v>51.16</c:v>
                </c:pt>
                <c:pt idx="118" formatCode="General">
                  <c:v>10</c:v>
                </c:pt>
                <c:pt idx="119" formatCode="General">
                  <c:v>8</c:v>
                </c:pt>
                <c:pt idx="120" formatCode="General">
                  <c:v>118.79</c:v>
                </c:pt>
                <c:pt idx="121" formatCode="General">
                  <c:v>10</c:v>
                </c:pt>
                <c:pt idx="122" formatCode="General">
                  <c:v>91.29</c:v>
                </c:pt>
                <c:pt idx="123" formatCode="General">
                  <c:v>10</c:v>
                </c:pt>
                <c:pt idx="124" formatCode="General">
                  <c:v>10</c:v>
                </c:pt>
                <c:pt idx="125" formatCode="General">
                  <c:v>44.49</c:v>
                </c:pt>
                <c:pt idx="126" formatCode="General">
                  <c:v>173.94</c:v>
                </c:pt>
                <c:pt idx="127" formatCode="General">
                  <c:v>10</c:v>
                </c:pt>
                <c:pt idx="128" formatCode="General">
                  <c:v>10</c:v>
                </c:pt>
                <c:pt idx="129" formatCode="General">
                  <c:v>10</c:v>
                </c:pt>
                <c:pt idx="130" formatCode="General">
                  <c:v>35</c:v>
                </c:pt>
                <c:pt idx="131" formatCode="General">
                  <c:v>10</c:v>
                </c:pt>
                <c:pt idx="132" formatCode="General">
                  <c:v>151.86000000000001</c:v>
                </c:pt>
                <c:pt idx="133" formatCode="General">
                  <c:v>45.64</c:v>
                </c:pt>
                <c:pt idx="134" formatCode="General">
                  <c:v>2</c:v>
                </c:pt>
                <c:pt idx="135" formatCode="General">
                  <c:v>10</c:v>
                </c:pt>
                <c:pt idx="136" formatCode="General">
                  <c:v>628.52</c:v>
                </c:pt>
                <c:pt idx="137" formatCode="General">
                  <c:v>30.42</c:v>
                </c:pt>
                <c:pt idx="138" formatCode="General">
                  <c:v>36.99</c:v>
                </c:pt>
                <c:pt idx="139" formatCode="General">
                  <c:v>10</c:v>
                </c:pt>
                <c:pt idx="140" formatCode="General">
                  <c:v>38.89</c:v>
                </c:pt>
                <c:pt idx="141" formatCode="General">
                  <c:v>10</c:v>
                </c:pt>
                <c:pt idx="142" formatCode="General">
                  <c:v>10</c:v>
                </c:pt>
                <c:pt idx="143" formatCode="General">
                  <c:v>37.33</c:v>
                </c:pt>
                <c:pt idx="144" formatCode="General">
                  <c:v>15.52</c:v>
                </c:pt>
                <c:pt idx="145" formatCode="General">
                  <c:v>40.119999999999997</c:v>
                </c:pt>
                <c:pt idx="146" formatCode="General">
                  <c:v>10</c:v>
                </c:pt>
                <c:pt idx="147" formatCode="General">
                  <c:v>13.78</c:v>
                </c:pt>
                <c:pt idx="148" formatCode="General">
                  <c:v>37.33</c:v>
                </c:pt>
                <c:pt idx="149" formatCode="General">
                  <c:v>15.52</c:v>
                </c:pt>
                <c:pt idx="150" formatCode="General">
                  <c:v>34.39</c:v>
                </c:pt>
                <c:pt idx="151" formatCode="General">
                  <c:v>33.25</c:v>
                </c:pt>
                <c:pt idx="152" formatCode="General">
                  <c:v>10</c:v>
                </c:pt>
                <c:pt idx="153" formatCode="General">
                  <c:v>10</c:v>
                </c:pt>
                <c:pt idx="154" formatCode="General">
                  <c:v>237.63</c:v>
                </c:pt>
                <c:pt idx="155" formatCode="General">
                  <c:v>6.58</c:v>
                </c:pt>
                <c:pt idx="156" formatCode="General">
                  <c:v>10</c:v>
                </c:pt>
                <c:pt idx="157" formatCode="General">
                  <c:v>14.24</c:v>
                </c:pt>
                <c:pt idx="158" formatCode="General">
                  <c:v>31.28</c:v>
                </c:pt>
                <c:pt idx="159" formatCode="General">
                  <c:v>580.1</c:v>
                </c:pt>
                <c:pt idx="160" formatCode="General">
                  <c:v>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46840"/>
        <c:axId val="460357032"/>
      </c:scatterChart>
      <c:valAx>
        <c:axId val="460346840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Distance</a:t>
                </a:r>
                <a:r>
                  <a:rPr lang="en-GB" baseline="0"/>
                  <a:t> (degrees)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7032"/>
        <c:crosses val="autoZero"/>
        <c:crossBetween val="midCat"/>
      </c:valAx>
      <c:valAx>
        <c:axId val="460357032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Depth / km</a:t>
                </a:r>
              </a:p>
            </c:rich>
          </c:tx>
          <c:layout>
            <c:manualLayout>
              <c:xMode val="edge"/>
              <c:yMode val="edge"/>
              <c:x val="7.3727419143651239E-3"/>
              <c:y val="0.45606759691043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4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Earthquakes</a:t>
            </a:r>
            <a:r>
              <a:rPr lang="en-GB" baseline="0"/>
              <a:t> detected in St Day, Cornwall on Raspberry Shake RAD67 </a:t>
            </a:r>
            <a:br>
              <a:rPr lang="en-GB" baseline="0"/>
            </a:br>
            <a:r>
              <a:rPr lang="en-GB" baseline="0"/>
              <a:t>from 24th June to 31st October 2020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62373700566031E-2"/>
          <c:y val="0.11310302430589229"/>
          <c:w val="0.90858352258489061"/>
          <c:h val="0.79420320823970902"/>
        </c:manualLayout>
      </c:layout>
      <c:scatterChart>
        <c:scatterStyle val="lineMarker"/>
        <c:varyColors val="0"/>
        <c:ser>
          <c:idx val="1"/>
          <c:order val="0"/>
          <c:tx>
            <c:strRef>
              <c:f>Legend!$H$1</c:f>
              <c:strCache>
                <c:ptCount val="1"/>
                <c:pt idx="0">
                  <c:v>Magnitude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6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6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6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6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6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6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circle"/>
              <c:size val="6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600+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500-599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400-499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300-399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200-299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100-199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25-99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0-24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Legend!$F$2:$F$9</c:f>
              <c:numCache>
                <c:formatCode>General</c:formatCode>
                <c:ptCount val="8"/>
                <c:pt idx="0">
                  <c:v>164</c:v>
                </c:pt>
                <c:pt idx="1">
                  <c:v>164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</c:numCache>
            </c:numRef>
          </c:xVal>
          <c:yVal>
            <c:numRef>
              <c:f>Legend!$H$2:$H$9</c:f>
              <c:numCache>
                <c:formatCode>General</c:formatCode>
                <c:ptCount val="8"/>
                <c:pt idx="0">
                  <c:v>9.1</c:v>
                </c:pt>
                <c:pt idx="1">
                  <c:v>8.6999999999999993</c:v>
                </c:pt>
                <c:pt idx="2">
                  <c:v>8.2999999999999989</c:v>
                </c:pt>
                <c:pt idx="3">
                  <c:v>7.8999999999999986</c:v>
                </c:pt>
                <c:pt idx="4">
                  <c:v>7.4999999999999982</c:v>
                </c:pt>
                <c:pt idx="5">
                  <c:v>7.0999999999999979</c:v>
                </c:pt>
                <c:pt idx="6">
                  <c:v>6.6999999999999975</c:v>
                </c:pt>
                <c:pt idx="7">
                  <c:v>6.2999999999999972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Data!$G$1</c:f>
              <c:strCache>
                <c:ptCount val="1"/>
                <c:pt idx="0">
                  <c:v>Distance (km)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circle"/>
              <c:size val="10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circle"/>
              <c:size val="11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circle"/>
              <c:size val="9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0"/>
            <c:marker>
              <c:symbol val="circle"/>
              <c:size val="8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1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2"/>
            <c:marker>
              <c:symbol val="circle"/>
              <c:size val="12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3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4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5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6"/>
            <c:marker>
              <c:symbol val="circle"/>
              <c:size val="10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8"/>
            <c:marker>
              <c:symbol val="circle"/>
              <c:size val="14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9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0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1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2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3"/>
            <c:marker>
              <c:symbol val="circle"/>
              <c:size val="7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5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6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7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0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1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4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5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6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7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0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1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2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3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4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5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6"/>
            <c:marker>
              <c:symbol val="circle"/>
              <c:size val="11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7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8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0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1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3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5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6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8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9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0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1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2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3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4"/>
            <c:marker>
              <c:symbol val="circle"/>
              <c:size val="7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5"/>
            <c:marker>
              <c:symbol val="circle"/>
              <c:size val="12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6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7"/>
            <c:marker>
              <c:symbol val="circle"/>
              <c:size val="12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8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0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1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4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5"/>
            <c:marker>
              <c:symbol val="circle"/>
              <c:size val="8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6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8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9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0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1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3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5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6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8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0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1"/>
            <c:marker>
              <c:symbol val="circle"/>
              <c:size val="10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3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4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5"/>
            <c:marker>
              <c:symbol val="circle"/>
              <c:size val="11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6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7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8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9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0"/>
            <c:marker>
              <c:symbol val="circle"/>
              <c:size val="3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1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2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3"/>
            <c:marker>
              <c:symbol val="circle"/>
              <c:size val="3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4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5"/>
            <c:marker>
              <c:symbol val="circle"/>
              <c:size val="7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6"/>
            <c:marker>
              <c:symbol val="circle"/>
              <c:size val="11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8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9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0"/>
            <c:marker>
              <c:symbol val="circle"/>
              <c:size val="9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1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3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4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5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6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7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8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0"/>
            <c:marker>
              <c:symbol val="circle"/>
              <c:size val="11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1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2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4"/>
            <c:marker>
              <c:symbol val="circle"/>
              <c:size val="6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5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6"/>
            <c:marker>
              <c:symbol val="circle"/>
              <c:size val="10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7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8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0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1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3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4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5"/>
            <c:marker>
              <c:symbol val="circle"/>
              <c:size val="13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6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8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0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1"/>
            <c:marker>
              <c:symbol val="circle"/>
              <c:size val="13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2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3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4"/>
            <c:marker>
              <c:symbol val="circle"/>
              <c:size val="10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5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6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7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9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0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1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0"/>
            <c:marker>
              <c:symbol val="circle"/>
              <c:size val="5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1"/>
            <c:marker>
              <c:symbol val="circle"/>
              <c:size val="5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2"/>
            <c:marker>
              <c:symbol val="circle"/>
              <c:size val="5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3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4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xVal>
            <c:numRef>
              <c:f>Data!$H$2:$H$163</c:f>
              <c:numCache>
                <c:formatCode>General</c:formatCode>
                <c:ptCount val="162"/>
                <c:pt idx="0">
                  <c:v>75.086625692799998</c:v>
                </c:pt>
                <c:pt idx="1">
                  <c:v>89.270748203799997</c:v>
                </c:pt>
                <c:pt idx="2">
                  <c:v>36.3010913763</c:v>
                </c:pt>
                <c:pt idx="3">
                  <c:v>62.015921575500002</c:v>
                </c:pt>
                <c:pt idx="4">
                  <c:v>25.869256543199999</c:v>
                </c:pt>
                <c:pt idx="5">
                  <c:v>2.71379520746</c:v>
                </c:pt>
                <c:pt idx="6">
                  <c:v>27.437413179899998</c:v>
                </c:pt>
                <c:pt idx="7">
                  <c:v>148.98367856300001</c:v>
                </c:pt>
                <c:pt idx="8">
                  <c:v>83.182885301799999</c:v>
                </c:pt>
                <c:pt idx="9">
                  <c:v>74.319200800499999</c:v>
                </c:pt>
                <c:pt idx="10">
                  <c:v>144.17318855400001</c:v>
                </c:pt>
                <c:pt idx="11">
                  <c:v>110.6570121</c:v>
                </c:pt>
                <c:pt idx="12">
                  <c:v>70.560283962200003</c:v>
                </c:pt>
                <c:pt idx="13">
                  <c:v>81.534356673999994</c:v>
                </c:pt>
                <c:pt idx="14">
                  <c:v>145.773135629</c:v>
                </c:pt>
                <c:pt idx="15">
                  <c:v>84.596676077699996</c:v>
                </c:pt>
                <c:pt idx="16">
                  <c:v>145.74216400500001</c:v>
                </c:pt>
                <c:pt idx="17">
                  <c:v>75.187318453800003</c:v>
                </c:pt>
                <c:pt idx="18">
                  <c:v>84.295199897000003</c:v>
                </c:pt>
                <c:pt idx="19">
                  <c:v>146.565575752</c:v>
                </c:pt>
                <c:pt idx="20">
                  <c:v>156.177844171</c:v>
                </c:pt>
                <c:pt idx="21">
                  <c:v>75.793974682799998</c:v>
                </c:pt>
                <c:pt idx="22">
                  <c:v>132.004133021</c:v>
                </c:pt>
                <c:pt idx="23">
                  <c:v>90.679408784499998</c:v>
                </c:pt>
                <c:pt idx="24">
                  <c:v>82.0094860337</c:v>
                </c:pt>
                <c:pt idx="25">
                  <c:v>87.076777499100004</c:v>
                </c:pt>
                <c:pt idx="26">
                  <c:v>150.13300273300001</c:v>
                </c:pt>
                <c:pt idx="27">
                  <c:v>67.021088768300004</c:v>
                </c:pt>
                <c:pt idx="28">
                  <c:v>72.403352270900001</c:v>
                </c:pt>
                <c:pt idx="29">
                  <c:v>72.585596394800007</c:v>
                </c:pt>
                <c:pt idx="30">
                  <c:v>72.771830620900005</c:v>
                </c:pt>
                <c:pt idx="31">
                  <c:v>144.48392733399999</c:v>
                </c:pt>
                <c:pt idx="32">
                  <c:v>72.362769629300004</c:v>
                </c:pt>
                <c:pt idx="33">
                  <c:v>72.398067491800006</c:v>
                </c:pt>
                <c:pt idx="34">
                  <c:v>73.039995302099996</c:v>
                </c:pt>
                <c:pt idx="35">
                  <c:v>66.343617057599999</c:v>
                </c:pt>
                <c:pt idx="36">
                  <c:v>72.353866461999999</c:v>
                </c:pt>
                <c:pt idx="37">
                  <c:v>66.308114322400002</c:v>
                </c:pt>
                <c:pt idx="38">
                  <c:v>72.398983691799998</c:v>
                </c:pt>
                <c:pt idx="39">
                  <c:v>72.9470323157</c:v>
                </c:pt>
                <c:pt idx="40">
                  <c:v>72.863485533100004</c:v>
                </c:pt>
                <c:pt idx="41">
                  <c:v>149.750504237</c:v>
                </c:pt>
                <c:pt idx="42">
                  <c:v>72.896091353599999</c:v>
                </c:pt>
                <c:pt idx="43">
                  <c:v>72.665483310499994</c:v>
                </c:pt>
                <c:pt idx="44">
                  <c:v>72.990758992699995</c:v>
                </c:pt>
                <c:pt idx="45">
                  <c:v>72.757753219600005</c:v>
                </c:pt>
                <c:pt idx="46">
                  <c:v>147.9614176</c:v>
                </c:pt>
                <c:pt idx="47">
                  <c:v>72.760497642900006</c:v>
                </c:pt>
                <c:pt idx="48">
                  <c:v>85.435991938900003</c:v>
                </c:pt>
                <c:pt idx="49">
                  <c:v>73.094439406000006</c:v>
                </c:pt>
                <c:pt idx="50">
                  <c:v>72.523411567099998</c:v>
                </c:pt>
                <c:pt idx="51">
                  <c:v>147.43367924500001</c:v>
                </c:pt>
                <c:pt idx="52">
                  <c:v>149.96810472300001</c:v>
                </c:pt>
                <c:pt idx="53">
                  <c:v>107.71606571</c:v>
                </c:pt>
                <c:pt idx="54">
                  <c:v>151.857952756</c:v>
                </c:pt>
                <c:pt idx="55">
                  <c:v>144.73069335900001</c:v>
                </c:pt>
                <c:pt idx="56">
                  <c:v>145.442477739</c:v>
                </c:pt>
                <c:pt idx="57">
                  <c:v>73.257240649400003</c:v>
                </c:pt>
                <c:pt idx="58">
                  <c:v>86.781500547600004</c:v>
                </c:pt>
                <c:pt idx="59">
                  <c:v>76.404134855199999</c:v>
                </c:pt>
                <c:pt idx="60">
                  <c:v>72.576019612099998</c:v>
                </c:pt>
                <c:pt idx="61">
                  <c:v>73.048450779299998</c:v>
                </c:pt>
                <c:pt idx="62">
                  <c:v>54.395815994499998</c:v>
                </c:pt>
                <c:pt idx="63">
                  <c:v>52.909119492099997</c:v>
                </c:pt>
                <c:pt idx="64">
                  <c:v>72.275269459699999</c:v>
                </c:pt>
                <c:pt idx="65">
                  <c:v>69.476237592800004</c:v>
                </c:pt>
                <c:pt idx="66">
                  <c:v>79.472849933099994</c:v>
                </c:pt>
                <c:pt idx="67">
                  <c:v>57.069884258400002</c:v>
                </c:pt>
                <c:pt idx="68">
                  <c:v>74.7744331862</c:v>
                </c:pt>
                <c:pt idx="69">
                  <c:v>2.25</c:v>
                </c:pt>
                <c:pt idx="70">
                  <c:v>77.957390418000003</c:v>
                </c:pt>
                <c:pt idx="71">
                  <c:v>24.571842555300002</c:v>
                </c:pt>
                <c:pt idx="72">
                  <c:v>147.381719981</c:v>
                </c:pt>
                <c:pt idx="73">
                  <c:v>72.325896135700006</c:v>
                </c:pt>
                <c:pt idx="74">
                  <c:v>150.71202323200001</c:v>
                </c:pt>
                <c:pt idx="75">
                  <c:v>103.74101873399999</c:v>
                </c:pt>
                <c:pt idx="76">
                  <c:v>72.777281780799996</c:v>
                </c:pt>
                <c:pt idx="77">
                  <c:v>119.095628507</c:v>
                </c:pt>
                <c:pt idx="78">
                  <c:v>146.65101436200001</c:v>
                </c:pt>
                <c:pt idx="79">
                  <c:v>146.63947412900001</c:v>
                </c:pt>
                <c:pt idx="80">
                  <c:v>61.585345347000001</c:v>
                </c:pt>
                <c:pt idx="81">
                  <c:v>75.879314159900005</c:v>
                </c:pt>
                <c:pt idx="82">
                  <c:v>150.563272001</c:v>
                </c:pt>
                <c:pt idx="83">
                  <c:v>84.0199934555</c:v>
                </c:pt>
                <c:pt idx="84">
                  <c:v>21.747204543599999</c:v>
                </c:pt>
                <c:pt idx="85">
                  <c:v>144.43335214800001</c:v>
                </c:pt>
                <c:pt idx="86">
                  <c:v>49.036370888</c:v>
                </c:pt>
                <c:pt idx="87">
                  <c:v>146.44931503800001</c:v>
                </c:pt>
                <c:pt idx="88">
                  <c:v>53.594155380799997</c:v>
                </c:pt>
                <c:pt idx="89">
                  <c:v>0.1</c:v>
                </c:pt>
                <c:pt idx="90">
                  <c:v>0.7</c:v>
                </c:pt>
                <c:pt idx="91">
                  <c:v>97.577244750899993</c:v>
                </c:pt>
                <c:pt idx="92">
                  <c:v>70.244389710099995</c:v>
                </c:pt>
                <c:pt idx="93">
                  <c:v>147.017797522</c:v>
                </c:pt>
                <c:pt idx="94">
                  <c:v>83.291739986799996</c:v>
                </c:pt>
                <c:pt idx="95">
                  <c:v>10</c:v>
                </c:pt>
                <c:pt idx="96">
                  <c:v>50.194891418099999</c:v>
                </c:pt>
                <c:pt idx="97">
                  <c:v>14.791234018000001</c:v>
                </c:pt>
                <c:pt idx="98">
                  <c:v>146.40343661200001</c:v>
                </c:pt>
                <c:pt idx="99">
                  <c:v>146.53944366799999</c:v>
                </c:pt>
                <c:pt idx="100">
                  <c:v>146.46765286600001</c:v>
                </c:pt>
                <c:pt idx="101">
                  <c:v>121.063842905</c:v>
                </c:pt>
                <c:pt idx="102">
                  <c:v>23.032005238899998</c:v>
                </c:pt>
                <c:pt idx="103">
                  <c:v>76.9944682812</c:v>
                </c:pt>
                <c:pt idx="104">
                  <c:v>147.14228393299999</c:v>
                </c:pt>
                <c:pt idx="105">
                  <c:v>91.490235407699998</c:v>
                </c:pt>
                <c:pt idx="106">
                  <c:v>146.524672815</c:v>
                </c:pt>
                <c:pt idx="107">
                  <c:v>86.506027020800005</c:v>
                </c:pt>
                <c:pt idx="108">
                  <c:v>122.38916417199999</c:v>
                </c:pt>
                <c:pt idx="109">
                  <c:v>2.44</c:v>
                </c:pt>
                <c:pt idx="110">
                  <c:v>2.42</c:v>
                </c:pt>
                <c:pt idx="111">
                  <c:v>2.42</c:v>
                </c:pt>
                <c:pt idx="112">
                  <c:v>2.42</c:v>
                </c:pt>
                <c:pt idx="113">
                  <c:v>2.42</c:v>
                </c:pt>
                <c:pt idx="114">
                  <c:v>3.42</c:v>
                </c:pt>
                <c:pt idx="115">
                  <c:v>149.99297805399999</c:v>
                </c:pt>
                <c:pt idx="116">
                  <c:v>72.941473844699999</c:v>
                </c:pt>
                <c:pt idx="117">
                  <c:v>83.213067473400002</c:v>
                </c:pt>
                <c:pt idx="118">
                  <c:v>69.585676918499999</c:v>
                </c:pt>
                <c:pt idx="119">
                  <c:v>2.6</c:v>
                </c:pt>
                <c:pt idx="120">
                  <c:v>151.96603819699999</c:v>
                </c:pt>
                <c:pt idx="121">
                  <c:v>49.8486856313</c:v>
                </c:pt>
                <c:pt idx="122">
                  <c:v>76.579708242799995</c:v>
                </c:pt>
                <c:pt idx="123">
                  <c:v>145.67356917800001</c:v>
                </c:pt>
                <c:pt idx="124">
                  <c:v>52.626785347899997</c:v>
                </c:pt>
                <c:pt idx="125">
                  <c:v>26.8405776942</c:v>
                </c:pt>
                <c:pt idx="126">
                  <c:v>122.514105019</c:v>
                </c:pt>
                <c:pt idx="127">
                  <c:v>3.31</c:v>
                </c:pt>
                <c:pt idx="128">
                  <c:v>3.29</c:v>
                </c:pt>
                <c:pt idx="129">
                  <c:v>76.8351850544</c:v>
                </c:pt>
                <c:pt idx="130">
                  <c:v>148.04602904699999</c:v>
                </c:pt>
                <c:pt idx="131">
                  <c:v>7.8008421338799998</c:v>
                </c:pt>
                <c:pt idx="132">
                  <c:v>26.5189305914</c:v>
                </c:pt>
                <c:pt idx="133">
                  <c:v>77.6589043476</c:v>
                </c:pt>
                <c:pt idx="134">
                  <c:v>7.8008421338799998</c:v>
                </c:pt>
                <c:pt idx="135">
                  <c:v>22.377979257100002</c:v>
                </c:pt>
                <c:pt idx="136">
                  <c:v>147.34378869899999</c:v>
                </c:pt>
                <c:pt idx="137">
                  <c:v>72.806353964099998</c:v>
                </c:pt>
                <c:pt idx="138">
                  <c:v>76.054350728200006</c:v>
                </c:pt>
                <c:pt idx="139">
                  <c:v>146.42111183599999</c:v>
                </c:pt>
                <c:pt idx="140">
                  <c:v>40.808028061800002</c:v>
                </c:pt>
                <c:pt idx="141">
                  <c:v>26.945587248399999</c:v>
                </c:pt>
                <c:pt idx="142">
                  <c:v>26.979068481900001</c:v>
                </c:pt>
                <c:pt idx="143">
                  <c:v>73.224697536299999</c:v>
                </c:pt>
                <c:pt idx="144">
                  <c:v>73.351591561500001</c:v>
                </c:pt>
                <c:pt idx="145">
                  <c:v>72.950469930599994</c:v>
                </c:pt>
                <c:pt idx="146">
                  <c:v>16.450474080500001</c:v>
                </c:pt>
                <c:pt idx="147">
                  <c:v>73.306374990799995</c:v>
                </c:pt>
                <c:pt idx="148">
                  <c:v>73.224697536299999</c:v>
                </c:pt>
                <c:pt idx="149">
                  <c:v>73.351591561500001</c:v>
                </c:pt>
                <c:pt idx="150">
                  <c:v>72.940366799200007</c:v>
                </c:pt>
                <c:pt idx="151">
                  <c:v>72.998939725400007</c:v>
                </c:pt>
                <c:pt idx="152">
                  <c:v>147.44828439400001</c:v>
                </c:pt>
                <c:pt idx="153">
                  <c:v>18.678595742399999</c:v>
                </c:pt>
                <c:pt idx="154">
                  <c:v>149.86790898699999</c:v>
                </c:pt>
                <c:pt idx="155">
                  <c:v>22.416416687600002</c:v>
                </c:pt>
                <c:pt idx="156">
                  <c:v>18.591295440700002</c:v>
                </c:pt>
                <c:pt idx="157">
                  <c:v>73.534133720100002</c:v>
                </c:pt>
                <c:pt idx="158">
                  <c:v>73.050540111100005</c:v>
                </c:pt>
                <c:pt idx="159">
                  <c:v>150.18284109499999</c:v>
                </c:pt>
                <c:pt idx="160">
                  <c:v>25.7859016291</c:v>
                </c:pt>
              </c:numCache>
            </c:numRef>
          </c:xVal>
          <c:yVal>
            <c:numRef>
              <c:f>Data!$A$2:$A$163</c:f>
              <c:numCache>
                <c:formatCode>General</c:formatCode>
                <c:ptCount val="162"/>
                <c:pt idx="0">
                  <c:v>5.8</c:v>
                </c:pt>
                <c:pt idx="1">
                  <c:v>5.9</c:v>
                </c:pt>
                <c:pt idx="2">
                  <c:v>5.4</c:v>
                </c:pt>
                <c:pt idx="3">
                  <c:v>6.3</c:v>
                </c:pt>
                <c:pt idx="4">
                  <c:v>5.2</c:v>
                </c:pt>
                <c:pt idx="5">
                  <c:v>4.5</c:v>
                </c:pt>
                <c:pt idx="6">
                  <c:v>5.5</c:v>
                </c:pt>
                <c:pt idx="7">
                  <c:v>5.0999999999999996</c:v>
                </c:pt>
                <c:pt idx="8">
                  <c:v>5.2</c:v>
                </c:pt>
                <c:pt idx="9">
                  <c:v>5.5</c:v>
                </c:pt>
                <c:pt idx="10">
                  <c:v>5.9</c:v>
                </c:pt>
                <c:pt idx="11">
                  <c:v>6.7</c:v>
                </c:pt>
                <c:pt idx="12">
                  <c:v>5.0999999999999996</c:v>
                </c:pt>
                <c:pt idx="13">
                  <c:v>4.9000000000000004</c:v>
                </c:pt>
                <c:pt idx="14">
                  <c:v>4.9000000000000004</c:v>
                </c:pt>
                <c:pt idx="15">
                  <c:v>4.9000000000000004</c:v>
                </c:pt>
                <c:pt idx="16">
                  <c:v>4.5999999999999996</c:v>
                </c:pt>
                <c:pt idx="17">
                  <c:v>5.4</c:v>
                </c:pt>
                <c:pt idx="18">
                  <c:v>5</c:v>
                </c:pt>
                <c:pt idx="19">
                  <c:v>5.0999999999999996</c:v>
                </c:pt>
                <c:pt idx="20">
                  <c:v>4.9000000000000004</c:v>
                </c:pt>
                <c:pt idx="21">
                  <c:v>5.8</c:v>
                </c:pt>
                <c:pt idx="22">
                  <c:v>7</c:v>
                </c:pt>
                <c:pt idx="23">
                  <c:v>5.9</c:v>
                </c:pt>
                <c:pt idx="24">
                  <c:v>5</c:v>
                </c:pt>
                <c:pt idx="25">
                  <c:v>5.7</c:v>
                </c:pt>
                <c:pt idx="26">
                  <c:v>6</c:v>
                </c:pt>
                <c:pt idx="27">
                  <c:v>5.0999999999999996</c:v>
                </c:pt>
                <c:pt idx="28">
                  <c:v>7.8</c:v>
                </c:pt>
                <c:pt idx="29">
                  <c:v>6.1</c:v>
                </c:pt>
                <c:pt idx="30">
                  <c:v>5.7</c:v>
                </c:pt>
                <c:pt idx="31">
                  <c:v>5.0999999999999996</c:v>
                </c:pt>
                <c:pt idx="32">
                  <c:v>5.8</c:v>
                </c:pt>
                <c:pt idx="33">
                  <c:v>4.7</c:v>
                </c:pt>
                <c:pt idx="34">
                  <c:v>5.0999999999999996</c:v>
                </c:pt>
                <c:pt idx="35">
                  <c:v>6.3</c:v>
                </c:pt>
                <c:pt idx="36">
                  <c:v>5.5</c:v>
                </c:pt>
                <c:pt idx="37">
                  <c:v>5.0999999999999996</c:v>
                </c:pt>
                <c:pt idx="38">
                  <c:v>4.9000000000000004</c:v>
                </c:pt>
                <c:pt idx="39">
                  <c:v>5</c:v>
                </c:pt>
                <c:pt idx="40">
                  <c:v>5</c:v>
                </c:pt>
                <c:pt idx="41">
                  <c:v>5.4</c:v>
                </c:pt>
                <c:pt idx="42">
                  <c:v>4.9000000000000004</c:v>
                </c:pt>
                <c:pt idx="43">
                  <c:v>5.5</c:v>
                </c:pt>
                <c:pt idx="44">
                  <c:v>6.1</c:v>
                </c:pt>
                <c:pt idx="45">
                  <c:v>5</c:v>
                </c:pt>
                <c:pt idx="46">
                  <c:v>4.8</c:v>
                </c:pt>
                <c:pt idx="47">
                  <c:v>5.6</c:v>
                </c:pt>
                <c:pt idx="48">
                  <c:v>4.9000000000000004</c:v>
                </c:pt>
                <c:pt idx="49">
                  <c:v>4.8</c:v>
                </c:pt>
                <c:pt idx="50">
                  <c:v>5</c:v>
                </c:pt>
                <c:pt idx="51">
                  <c:v>5.7</c:v>
                </c:pt>
                <c:pt idx="52">
                  <c:v>4.9000000000000004</c:v>
                </c:pt>
                <c:pt idx="53">
                  <c:v>6.4</c:v>
                </c:pt>
                <c:pt idx="54">
                  <c:v>5.6</c:v>
                </c:pt>
                <c:pt idx="55">
                  <c:v>4.9000000000000004</c:v>
                </c:pt>
                <c:pt idx="56">
                  <c:v>6.4</c:v>
                </c:pt>
                <c:pt idx="57">
                  <c:v>5.2</c:v>
                </c:pt>
                <c:pt idx="58">
                  <c:v>5.0999999999999996</c:v>
                </c:pt>
                <c:pt idx="59">
                  <c:v>4.9000000000000004</c:v>
                </c:pt>
                <c:pt idx="60">
                  <c:v>5.3</c:v>
                </c:pt>
                <c:pt idx="61">
                  <c:v>5.5</c:v>
                </c:pt>
                <c:pt idx="62">
                  <c:v>5.0999999999999996</c:v>
                </c:pt>
                <c:pt idx="63">
                  <c:v>5.2</c:v>
                </c:pt>
                <c:pt idx="64">
                  <c:v>5.2</c:v>
                </c:pt>
                <c:pt idx="65">
                  <c:v>6</c:v>
                </c:pt>
                <c:pt idx="66">
                  <c:v>5</c:v>
                </c:pt>
                <c:pt idx="67">
                  <c:v>5.6</c:v>
                </c:pt>
                <c:pt idx="68">
                  <c:v>5.7</c:v>
                </c:pt>
                <c:pt idx="69">
                  <c:v>2.9</c:v>
                </c:pt>
                <c:pt idx="70">
                  <c:v>5.7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4.7</c:v>
                </c:pt>
                <c:pt idx="75">
                  <c:v>6.9</c:v>
                </c:pt>
                <c:pt idx="76">
                  <c:v>5.0999999999999996</c:v>
                </c:pt>
                <c:pt idx="77">
                  <c:v>6.9</c:v>
                </c:pt>
                <c:pt idx="78">
                  <c:v>4.9000000000000004</c:v>
                </c:pt>
                <c:pt idx="79">
                  <c:v>5</c:v>
                </c:pt>
                <c:pt idx="80">
                  <c:v>5</c:v>
                </c:pt>
                <c:pt idx="81">
                  <c:v>6</c:v>
                </c:pt>
                <c:pt idx="82">
                  <c:v>5.2</c:v>
                </c:pt>
                <c:pt idx="83">
                  <c:v>5.5</c:v>
                </c:pt>
                <c:pt idx="84">
                  <c:v>4.5</c:v>
                </c:pt>
                <c:pt idx="85">
                  <c:v>4.8</c:v>
                </c:pt>
                <c:pt idx="86">
                  <c:v>5</c:v>
                </c:pt>
                <c:pt idx="87">
                  <c:v>5</c:v>
                </c:pt>
                <c:pt idx="88">
                  <c:v>6.5</c:v>
                </c:pt>
                <c:pt idx="89">
                  <c:v>-0.1</c:v>
                </c:pt>
                <c:pt idx="90">
                  <c:v>1.7</c:v>
                </c:pt>
                <c:pt idx="91">
                  <c:v>6.8</c:v>
                </c:pt>
                <c:pt idx="92">
                  <c:v>5.5</c:v>
                </c:pt>
                <c:pt idx="93">
                  <c:v>5.8</c:v>
                </c:pt>
                <c:pt idx="94">
                  <c:v>4.9000000000000004</c:v>
                </c:pt>
                <c:pt idx="95">
                  <c:v>3.7</c:v>
                </c:pt>
                <c:pt idx="96">
                  <c:v>6.6</c:v>
                </c:pt>
                <c:pt idx="97">
                  <c:v>5.3</c:v>
                </c:pt>
                <c:pt idx="98">
                  <c:v>6.2</c:v>
                </c:pt>
                <c:pt idx="99">
                  <c:v>5.7</c:v>
                </c:pt>
                <c:pt idx="100">
                  <c:v>6.2</c:v>
                </c:pt>
                <c:pt idx="101">
                  <c:v>5.9</c:v>
                </c:pt>
                <c:pt idx="102">
                  <c:v>5.3</c:v>
                </c:pt>
                <c:pt idx="103">
                  <c:v>5.6</c:v>
                </c:pt>
                <c:pt idx="104">
                  <c:v>5.6</c:v>
                </c:pt>
                <c:pt idx="105">
                  <c:v>6.3</c:v>
                </c:pt>
                <c:pt idx="106">
                  <c:v>5.9</c:v>
                </c:pt>
                <c:pt idx="107">
                  <c:v>6.1</c:v>
                </c:pt>
                <c:pt idx="108">
                  <c:v>5.2</c:v>
                </c:pt>
                <c:pt idx="109">
                  <c:v>3.1</c:v>
                </c:pt>
                <c:pt idx="110">
                  <c:v>2.7</c:v>
                </c:pt>
                <c:pt idx="111">
                  <c:v>2.8</c:v>
                </c:pt>
                <c:pt idx="112">
                  <c:v>2.8</c:v>
                </c:pt>
                <c:pt idx="113">
                  <c:v>2.7</c:v>
                </c:pt>
                <c:pt idx="114">
                  <c:v>2.9</c:v>
                </c:pt>
                <c:pt idx="115">
                  <c:v>4.5999999999999996</c:v>
                </c:pt>
                <c:pt idx="116">
                  <c:v>6.4</c:v>
                </c:pt>
                <c:pt idx="117">
                  <c:v>4.8</c:v>
                </c:pt>
                <c:pt idx="118">
                  <c:v>5.3</c:v>
                </c:pt>
                <c:pt idx="119">
                  <c:v>3.5</c:v>
                </c:pt>
                <c:pt idx="120">
                  <c:v>5.6</c:v>
                </c:pt>
                <c:pt idx="121">
                  <c:v>5.7</c:v>
                </c:pt>
                <c:pt idx="122">
                  <c:v>5.2</c:v>
                </c:pt>
                <c:pt idx="123">
                  <c:v>5.6</c:v>
                </c:pt>
                <c:pt idx="124">
                  <c:v>6.9</c:v>
                </c:pt>
                <c:pt idx="125">
                  <c:v>5.9</c:v>
                </c:pt>
                <c:pt idx="126">
                  <c:v>4.9000000000000004</c:v>
                </c:pt>
                <c:pt idx="127">
                  <c:v>3</c:v>
                </c:pt>
                <c:pt idx="128">
                  <c:v>3.5</c:v>
                </c:pt>
                <c:pt idx="129">
                  <c:v>5.2</c:v>
                </c:pt>
                <c:pt idx="130">
                  <c:v>6.4</c:v>
                </c:pt>
                <c:pt idx="131">
                  <c:v>4.5</c:v>
                </c:pt>
                <c:pt idx="132">
                  <c:v>5.0999999999999996</c:v>
                </c:pt>
                <c:pt idx="133">
                  <c:v>5.3</c:v>
                </c:pt>
                <c:pt idx="134">
                  <c:v>3.9</c:v>
                </c:pt>
                <c:pt idx="135">
                  <c:v>5.3</c:v>
                </c:pt>
                <c:pt idx="136">
                  <c:v>6</c:v>
                </c:pt>
                <c:pt idx="137">
                  <c:v>5.9</c:v>
                </c:pt>
                <c:pt idx="138">
                  <c:v>5.7</c:v>
                </c:pt>
                <c:pt idx="139">
                  <c:v>5.2</c:v>
                </c:pt>
                <c:pt idx="140">
                  <c:v>4.9000000000000004</c:v>
                </c:pt>
                <c:pt idx="141">
                  <c:v>5.2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5.5</c:v>
                </c:pt>
                <c:pt idx="145">
                  <c:v>7.5</c:v>
                </c:pt>
                <c:pt idx="146">
                  <c:v>5.6</c:v>
                </c:pt>
                <c:pt idx="147">
                  <c:v>5.6</c:v>
                </c:pt>
                <c:pt idx="148">
                  <c:v>5.9</c:v>
                </c:pt>
                <c:pt idx="149">
                  <c:v>5.5</c:v>
                </c:pt>
                <c:pt idx="150">
                  <c:v>5.7</c:v>
                </c:pt>
                <c:pt idx="151">
                  <c:v>7.6</c:v>
                </c:pt>
                <c:pt idx="152">
                  <c:v>5.9</c:v>
                </c:pt>
                <c:pt idx="153">
                  <c:v>4.7</c:v>
                </c:pt>
                <c:pt idx="154">
                  <c:v>5.8</c:v>
                </c:pt>
                <c:pt idx="155">
                  <c:v>5.2</c:v>
                </c:pt>
                <c:pt idx="156">
                  <c:v>5.0999999999999996</c:v>
                </c:pt>
                <c:pt idx="157">
                  <c:v>4.5</c:v>
                </c:pt>
                <c:pt idx="158">
                  <c:v>5.0999999999999996</c:v>
                </c:pt>
                <c:pt idx="159">
                  <c:v>5.3</c:v>
                </c:pt>
                <c:pt idx="160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48408"/>
        <c:axId val="460354680"/>
      </c:scatterChart>
      <c:valAx>
        <c:axId val="460348408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Distance</a:t>
                </a:r>
                <a:r>
                  <a:rPr lang="en-GB" baseline="0"/>
                  <a:t> (degrees)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4680"/>
        <c:crossesAt val="-1"/>
        <c:crossBetween val="midCat"/>
      </c:valAx>
      <c:valAx>
        <c:axId val="460354680"/>
        <c:scaling>
          <c:orientation val="minMax"/>
          <c:max val="10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4840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Earthquakes detected in St Day, Cornwall on Raspberry Shake RAD67 </a:t>
            </a:r>
            <a:br>
              <a:rPr lang="en-GB" sz="1800" b="0" i="0" baseline="0">
                <a:effectLst/>
              </a:rPr>
            </a:br>
            <a:r>
              <a:rPr lang="en-GB" sz="1800" b="0" i="0" baseline="0">
                <a:effectLst/>
              </a:rPr>
              <a:t>from 24th June to 31st October 2020 </a:t>
            </a:r>
            <a:endParaRPr lang="en-GB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167052057795128E-2"/>
          <c:y val="0.1367386019386197"/>
          <c:w val="0.88970441096211472"/>
          <c:h val="0.73219285600398443"/>
        </c:manualLayout>
      </c:layout>
      <c:scatterChart>
        <c:scatterStyle val="lineMarker"/>
        <c:varyColors val="0"/>
        <c:ser>
          <c:idx val="2"/>
          <c:order val="0"/>
          <c:tx>
            <c:strRef>
              <c:f>Legend!$L$1</c:f>
              <c:strCache>
                <c:ptCount val="1"/>
                <c:pt idx="0">
                  <c:v>Magnitude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6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circle"/>
              <c:size val="6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circle"/>
              <c:size val="6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6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circle"/>
              <c:size val="6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6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circle"/>
              <c:size val="6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600+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500-599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400-499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300-399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200-299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100-199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25-99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0-24 km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Legend!$K$2:$K$9</c:f>
              <c:numCache>
                <c:formatCode>m/d/yyyy\ h:mm</c:formatCode>
                <c:ptCount val="8"/>
                <c:pt idx="0">
                  <c:v>44010.958333333336</c:v>
                </c:pt>
                <c:pt idx="1">
                  <c:v>44010.958333333336</c:v>
                </c:pt>
                <c:pt idx="2">
                  <c:v>44010.958333333336</c:v>
                </c:pt>
                <c:pt idx="3">
                  <c:v>44010.958333333336</c:v>
                </c:pt>
                <c:pt idx="4">
                  <c:v>44010.958333333336</c:v>
                </c:pt>
                <c:pt idx="5">
                  <c:v>44010.958333333336</c:v>
                </c:pt>
                <c:pt idx="6">
                  <c:v>44010.958333333336</c:v>
                </c:pt>
                <c:pt idx="7">
                  <c:v>44010.958333333336</c:v>
                </c:pt>
              </c:numCache>
            </c:numRef>
          </c:xVal>
          <c:yVal>
            <c:numRef>
              <c:f>Legend!$L$2:$L$9</c:f>
              <c:numCache>
                <c:formatCode>General</c:formatCode>
                <c:ptCount val="8"/>
                <c:pt idx="0">
                  <c:v>2.6</c:v>
                </c:pt>
                <c:pt idx="1">
                  <c:v>2.2000000000000002</c:v>
                </c:pt>
                <c:pt idx="2">
                  <c:v>1.8000000000000003</c:v>
                </c:pt>
                <c:pt idx="3">
                  <c:v>1.4000000000000004</c:v>
                </c:pt>
                <c:pt idx="4">
                  <c:v>1.0000000000000004</c:v>
                </c:pt>
                <c:pt idx="5">
                  <c:v>0.60000000000000042</c:v>
                </c:pt>
                <c:pt idx="6">
                  <c:v>0.2000000000000004</c:v>
                </c:pt>
                <c:pt idx="7">
                  <c:v>-0.19999999999999962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Data!$G$1</c:f>
              <c:strCache>
                <c:ptCount val="1"/>
                <c:pt idx="0">
                  <c:v>Distance (km)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0"/>
            <c:marker>
              <c:symbol val="circle"/>
              <c:size val="10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1"/>
            <c:marker>
              <c:symbol val="circle"/>
              <c:size val="11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3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4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5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6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7"/>
            <c:marker>
              <c:symbol val="circle"/>
              <c:size val="9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1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0"/>
            <c:marker>
              <c:symbol val="circle"/>
              <c:size val="8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1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2"/>
            <c:marker>
              <c:symbol val="circle"/>
              <c:size val="12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3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4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5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6"/>
            <c:marker>
              <c:symbol val="circle"/>
              <c:size val="10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8"/>
            <c:marker>
              <c:symbol val="circle"/>
              <c:size val="14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9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0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1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2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3"/>
            <c:marker>
              <c:symbol val="circle"/>
              <c:size val="7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5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6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7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3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0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1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4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5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6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7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4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0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1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2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3"/>
            <c:marker>
              <c:symbol val="circle"/>
              <c:size val="11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4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5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6"/>
            <c:marker>
              <c:symbol val="circle"/>
              <c:size val="11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7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8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59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0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1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3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5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6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8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69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0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1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2"/>
            <c:marker>
              <c:symbol val="circle"/>
              <c:size val="8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3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4"/>
            <c:marker>
              <c:symbol val="circle"/>
              <c:size val="7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5"/>
            <c:marker>
              <c:symbol val="circle"/>
              <c:size val="12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6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7"/>
            <c:marker>
              <c:symbol val="circle"/>
              <c:size val="12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8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7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0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1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4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5"/>
            <c:marker>
              <c:symbol val="circle"/>
              <c:size val="8"/>
              <c:spPr>
                <a:solidFill>
                  <a:srgbClr val="33CCCC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86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8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89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0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1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3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4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5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6"/>
            <c:marker>
              <c:symbol val="circle"/>
              <c:size val="11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8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9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0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1"/>
            <c:marker>
              <c:symbol val="circle"/>
              <c:size val="10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2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3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4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5"/>
            <c:marker>
              <c:symbol val="circle"/>
              <c:size val="11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6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7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8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09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0"/>
            <c:marker>
              <c:symbol val="circle"/>
              <c:size val="3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1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2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3"/>
            <c:marker>
              <c:symbol val="circle"/>
              <c:size val="3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4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5"/>
            <c:marker>
              <c:symbol val="circle"/>
              <c:size val="7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6"/>
            <c:marker>
              <c:symbol val="circle"/>
              <c:size val="11"/>
              <c:spPr>
                <a:solidFill>
                  <a:srgbClr val="3366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7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8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19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0"/>
            <c:marker>
              <c:symbol val="circle"/>
              <c:size val="9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1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2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3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4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5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6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7"/>
            <c:marker>
              <c:symbol val="circle"/>
              <c:size val="4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8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2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0"/>
            <c:marker>
              <c:symbol val="circle"/>
              <c:size val="11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1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2"/>
            <c:marker>
              <c:symbol val="circle"/>
              <c:size val="8"/>
              <c:spPr>
                <a:solidFill>
                  <a:srgbClr val="CC99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3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4"/>
            <c:marker>
              <c:symbol val="circle"/>
              <c:size val="6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5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6"/>
            <c:marker>
              <c:symbol val="circle"/>
              <c:size val="10"/>
              <c:spPr>
                <a:solidFill>
                  <a:srgbClr val="FF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7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8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39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0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1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2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3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4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5"/>
            <c:marker>
              <c:symbol val="circle"/>
              <c:size val="13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6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7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8"/>
            <c:marker>
              <c:symbol val="circle"/>
              <c:size val="10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49"/>
            <c:marker>
              <c:symbol val="circle"/>
              <c:size val="9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0"/>
            <c:marker>
              <c:symbol val="circle"/>
              <c:size val="9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1"/>
            <c:marker>
              <c:symbol val="circle"/>
              <c:size val="13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2"/>
            <c:marker>
              <c:symbol val="circle"/>
              <c:size val="10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3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4"/>
            <c:marker>
              <c:symbol val="circle"/>
              <c:size val="10"/>
              <c:spPr>
                <a:solidFill>
                  <a:srgbClr val="FFCC99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5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6"/>
            <c:marker>
              <c:symbol val="circle"/>
              <c:size val="8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7"/>
            <c:marker>
              <c:symbol val="circle"/>
              <c:size val="7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8"/>
            <c:marker>
              <c:symbol val="circle"/>
              <c:size val="8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59"/>
            <c:marker>
              <c:symbol val="circle"/>
              <c:size val="9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0"/>
            <c:marker>
              <c:symbol val="circle"/>
              <c:size val="1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61"/>
            <c:marker>
              <c:symbol val="circle"/>
              <c:size val="2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0"/>
            <c:marker>
              <c:symbol val="circle"/>
              <c:size val="5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1"/>
            <c:marker>
              <c:symbol val="circle"/>
              <c:size val="5"/>
              <c:spPr>
                <a:solidFill>
                  <a:srgbClr val="FF99CC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2"/>
            <c:marker>
              <c:symbol val="circle"/>
              <c:size val="5"/>
              <c:spPr>
                <a:solidFill>
                  <a:srgbClr val="99CC00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3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dPt>
            <c:idx val="194"/>
            <c:marker>
              <c:symbol val="circle"/>
              <c:size val="5"/>
              <c:spPr>
                <a:solidFill>
                  <a:srgbClr val="99CCFF"/>
                </a:solidFill>
                <a:ln w="9525">
                  <a:noFill/>
                </a:ln>
                <a:effectLst/>
              </c:spPr>
            </c:marker>
            <c:bubble3D val="0"/>
          </c:dPt>
          <c:xVal>
            <c:numRef>
              <c:f>Data!$F$2:$F$163</c:f>
              <c:numCache>
                <c:formatCode>yyyy\-mm\-dd\ hh:mm:ss</c:formatCode>
                <c:ptCount val="162"/>
                <c:pt idx="0">
                  <c:v>44006.736681018519</c:v>
                </c:pt>
                <c:pt idx="1">
                  <c:v>44006.824825104166</c:v>
                </c:pt>
                <c:pt idx="2">
                  <c:v>44007.419110428244</c:v>
                </c:pt>
                <c:pt idx="3">
                  <c:v>44007.878682349539</c:v>
                </c:pt>
                <c:pt idx="4">
                  <c:v>44008.306395092593</c:v>
                </c:pt>
                <c:pt idx="5">
                  <c:v>44009.457928240743</c:v>
                </c:pt>
                <c:pt idx="6">
                  <c:v>44010.738527488429</c:v>
                </c:pt>
                <c:pt idx="7">
                  <c:v>44012.923722731481</c:v>
                </c:pt>
                <c:pt idx="8">
                  <c:v>44014.296800138887</c:v>
                </c:pt>
                <c:pt idx="9">
                  <c:v>44017.370544988429</c:v>
                </c:pt>
                <c:pt idx="10">
                  <c:v>44017.784744872682</c:v>
                </c:pt>
                <c:pt idx="11">
                  <c:v>44018.954721030095</c:v>
                </c:pt>
                <c:pt idx="12">
                  <c:v>44020.046558032409</c:v>
                </c:pt>
                <c:pt idx="13">
                  <c:v>44021.218084039348</c:v>
                </c:pt>
                <c:pt idx="14">
                  <c:v>44022.716680810183</c:v>
                </c:pt>
                <c:pt idx="15">
                  <c:v>44024.397524537038</c:v>
                </c:pt>
                <c:pt idx="16">
                  <c:v>44024.835118599534</c:v>
                </c:pt>
                <c:pt idx="17">
                  <c:v>44024.943563472225</c:v>
                </c:pt>
                <c:pt idx="18">
                  <c:v>44025.071407268515</c:v>
                </c:pt>
                <c:pt idx="19">
                  <c:v>44025.926958252312</c:v>
                </c:pt>
                <c:pt idx="20">
                  <c:v>44027.160892048611</c:v>
                </c:pt>
                <c:pt idx="21">
                  <c:v>44027.902553761574</c:v>
                </c:pt>
                <c:pt idx="22">
                  <c:v>44029.118321956019</c:v>
                </c:pt>
                <c:pt idx="23">
                  <c:v>44029.236531504626</c:v>
                </c:pt>
                <c:pt idx="24">
                  <c:v>44029.257488842595</c:v>
                </c:pt>
                <c:pt idx="25">
                  <c:v>44029.772916956019</c:v>
                </c:pt>
                <c:pt idx="26">
                  <c:v>44033.872506678243</c:v>
                </c:pt>
                <c:pt idx="27">
                  <c:v>44034.13652068287</c:v>
                </c:pt>
                <c:pt idx="28">
                  <c:v>44034.258849456019</c:v>
                </c:pt>
                <c:pt idx="29">
                  <c:v>44034.261327048611</c:v>
                </c:pt>
                <c:pt idx="30">
                  <c:v>44034.263981469907</c:v>
                </c:pt>
                <c:pt idx="31">
                  <c:v>44034.312995775465</c:v>
                </c:pt>
                <c:pt idx="32">
                  <c:v>44034.342702511574</c:v>
                </c:pt>
                <c:pt idx="33">
                  <c:v>44034.422671666667</c:v>
                </c:pt>
                <c:pt idx="34">
                  <c:v>44034.459869999999</c:v>
                </c:pt>
                <c:pt idx="35">
                  <c:v>44034.838420601853</c:v>
                </c:pt>
                <c:pt idx="36">
                  <c:v>44034.902764467595</c:v>
                </c:pt>
                <c:pt idx="37">
                  <c:v>44035.451497268521</c:v>
                </c:pt>
                <c:pt idx="38">
                  <c:v>44035.464331354167</c:v>
                </c:pt>
                <c:pt idx="39">
                  <c:v>44036.129957303237</c:v>
                </c:pt>
                <c:pt idx="40">
                  <c:v>44036.558788530092</c:v>
                </c:pt>
                <c:pt idx="41">
                  <c:v>44037.941547256945</c:v>
                </c:pt>
                <c:pt idx="42">
                  <c:v>44038.899939178242</c:v>
                </c:pt>
                <c:pt idx="43">
                  <c:v>44039.815729953705</c:v>
                </c:pt>
                <c:pt idx="44">
                  <c:v>44040.335927546294</c:v>
                </c:pt>
                <c:pt idx="45">
                  <c:v>44040.52977158565</c:v>
                </c:pt>
                <c:pt idx="46">
                  <c:v>44040.799944363425</c:v>
                </c:pt>
                <c:pt idx="47">
                  <c:v>44041.383525763886</c:v>
                </c:pt>
                <c:pt idx="48">
                  <c:v>44041.400361481479</c:v>
                </c:pt>
                <c:pt idx="49">
                  <c:v>44041.54803460648</c:v>
                </c:pt>
                <c:pt idx="50">
                  <c:v>44042.672412812499</c:v>
                </c:pt>
                <c:pt idx="51">
                  <c:v>44042.803356759257</c:v>
                </c:pt>
                <c:pt idx="52">
                  <c:v>44044.364475185183</c:v>
                </c:pt>
                <c:pt idx="53">
                  <c:v>44044.714604050925</c:v>
                </c:pt>
                <c:pt idx="54">
                  <c:v>44044.82344792824</c:v>
                </c:pt>
                <c:pt idx="55">
                  <c:v>44048.079083032404</c:v>
                </c:pt>
                <c:pt idx="56">
                  <c:v>44048.503891666667</c:v>
                </c:pt>
                <c:pt idx="57">
                  <c:v>44048.678939375</c:v>
                </c:pt>
                <c:pt idx="58">
                  <c:v>44049.129570439814</c:v>
                </c:pt>
                <c:pt idx="59">
                  <c:v>44050.153634895833</c:v>
                </c:pt>
                <c:pt idx="60">
                  <c:v>44051.536786192133</c:v>
                </c:pt>
                <c:pt idx="61">
                  <c:v>44051.613133692132</c:v>
                </c:pt>
                <c:pt idx="62">
                  <c:v>44052.505295833333</c:v>
                </c:pt>
                <c:pt idx="63">
                  <c:v>44052.529320532405</c:v>
                </c:pt>
                <c:pt idx="64">
                  <c:v>44052.623531759258</c:v>
                </c:pt>
                <c:pt idx="65">
                  <c:v>44055.717545092593</c:v>
                </c:pt>
                <c:pt idx="66">
                  <c:v>44055.72919229167</c:v>
                </c:pt>
                <c:pt idx="67">
                  <c:v>44055.944972314814</c:v>
                </c:pt>
                <c:pt idx="68">
                  <c:v>44056.277755023148</c:v>
                </c:pt>
                <c:pt idx="69">
                  <c:v>44059.609506944442</c:v>
                </c:pt>
                <c:pt idx="70" formatCode="mm:ss.0">
                  <c:v>44059.837367812499</c:v>
                </c:pt>
                <c:pt idx="71">
                  <c:v>44060.31044666667</c:v>
                </c:pt>
                <c:pt idx="72">
                  <c:v>44060.411258784719</c:v>
                </c:pt>
                <c:pt idx="73">
                  <c:v>44061.769826840275</c:v>
                </c:pt>
                <c:pt idx="74">
                  <c:v>44061.915100798615</c:v>
                </c:pt>
                <c:pt idx="75">
                  <c:v>44061.937087604165</c:v>
                </c:pt>
                <c:pt idx="76">
                  <c:v>44062.823602303244</c:v>
                </c:pt>
                <c:pt idx="77">
                  <c:v>44064.173521712961</c:v>
                </c:pt>
                <c:pt idx="78">
                  <c:v>44066.886449293983</c:v>
                </c:pt>
                <c:pt idx="79">
                  <c:v>44066.886452129627</c:v>
                </c:pt>
                <c:pt idx="80">
                  <c:v>44067.592518321762</c:v>
                </c:pt>
                <c:pt idx="81">
                  <c:v>44067.910538773147</c:v>
                </c:pt>
                <c:pt idx="82">
                  <c:v>44067.951391238428</c:v>
                </c:pt>
                <c:pt idx="83">
                  <c:v>44068.220975474534</c:v>
                </c:pt>
                <c:pt idx="84">
                  <c:v>44069.387885324075</c:v>
                </c:pt>
                <c:pt idx="85">
                  <c:v>44071.081512199074</c:v>
                </c:pt>
                <c:pt idx="86">
                  <c:v>44074.150608055555</c:v>
                </c:pt>
                <c:pt idx="87">
                  <c:v>44073.903059386575</c:v>
                </c:pt>
                <c:pt idx="88">
                  <c:v>44073.889220243058</c:v>
                </c:pt>
                <c:pt idx="89">
                  <c:v>44069.933923611112</c:v>
                </c:pt>
                <c:pt idx="90">
                  <c:v>44074.053229166668</c:v>
                </c:pt>
                <c:pt idx="91">
                  <c:v>44075.173250324071</c:v>
                </c:pt>
                <c:pt idx="92">
                  <c:v>44075.035614733795</c:v>
                </c:pt>
                <c:pt idx="93">
                  <c:v>44074.852941400466</c:v>
                </c:pt>
                <c:pt idx="94">
                  <c:v>44076.441484039351</c:v>
                </c:pt>
                <c:pt idx="95">
                  <c:v>44076.063575231485</c:v>
                </c:pt>
                <c:pt idx="96">
                  <c:v>44080.285638229165</c:v>
                </c:pt>
                <c:pt idx="97">
                  <c:v>44080.276800046297</c:v>
                </c:pt>
                <c:pt idx="98">
                  <c:v>44080.124485636574</c:v>
                </c:pt>
                <c:pt idx="99">
                  <c:v>44081.270314062502</c:v>
                </c:pt>
                <c:pt idx="100">
                  <c:v>44081.258793171299</c:v>
                </c:pt>
                <c:pt idx="101">
                  <c:v>44082.031492499998</c:v>
                </c:pt>
                <c:pt idx="102" formatCode="mm:ss.0">
                  <c:v>44100.951686736109</c:v>
                </c:pt>
                <c:pt idx="103" formatCode="mm:ss.0">
                  <c:v>44101.175201296297</c:v>
                </c:pt>
                <c:pt idx="104">
                  <c:v>44086.109371666666</c:v>
                </c:pt>
                <c:pt idx="105">
                  <c:v>44085.316642291669</c:v>
                </c:pt>
                <c:pt idx="106">
                  <c:v>44086.357261423611</c:v>
                </c:pt>
                <c:pt idx="107">
                  <c:v>44086.114015844905</c:v>
                </c:pt>
                <c:pt idx="108">
                  <c:v>44086.851611099541</c:v>
                </c:pt>
                <c:pt idx="109">
                  <c:v>44086.58758796296</c:v>
                </c:pt>
                <c:pt idx="110">
                  <c:v>44087.718304398149</c:v>
                </c:pt>
                <c:pt idx="111">
                  <c:v>44087.511611111113</c:v>
                </c:pt>
                <c:pt idx="112">
                  <c:v>44087.396089120368</c:v>
                </c:pt>
                <c:pt idx="113">
                  <c:v>44086.708723379626</c:v>
                </c:pt>
                <c:pt idx="114" formatCode="mm:ss.0">
                  <c:v>44086.377693287039</c:v>
                </c:pt>
                <c:pt idx="115">
                  <c:v>44088.091828124998</c:v>
                </c:pt>
                <c:pt idx="116">
                  <c:v>44089.15378847222</c:v>
                </c:pt>
                <c:pt idx="117" formatCode="mm:ss.0">
                  <c:v>44089.280670312502</c:v>
                </c:pt>
                <c:pt idx="118" formatCode="mm:ss.0">
                  <c:v>44089.981985081016</c:v>
                </c:pt>
                <c:pt idx="119" formatCode="mm:ss.0">
                  <c:v>44090.110815972221</c:v>
                </c:pt>
                <c:pt idx="120" formatCode="mm:ss.0">
                  <c:v>44090.364242962962</c:v>
                </c:pt>
                <c:pt idx="121" formatCode="mm:ss.0">
                  <c:v>44091.12518333333</c:v>
                </c:pt>
                <c:pt idx="122" formatCode="mm:ss.0">
                  <c:v>44091.051386620369</c:v>
                </c:pt>
                <c:pt idx="123" formatCode="mm:ss.0">
                  <c:v>44091.709398171297</c:v>
                </c:pt>
                <c:pt idx="124" formatCode="mm:ss.0">
                  <c:v>44092.905549166666</c:v>
                </c:pt>
                <c:pt idx="125" formatCode="mm:ss.0">
                  <c:v>44092.686313240738</c:v>
                </c:pt>
                <c:pt idx="126" formatCode="mm:ss.0">
                  <c:v>44096.054912337961</c:v>
                </c:pt>
                <c:pt idx="127" formatCode="m/d/yyyy\ h:mm">
                  <c:v>44096.355740740742</c:v>
                </c:pt>
                <c:pt idx="128" formatCode="m/d/yyyy\ h:mm">
                  <c:v>44082.364918981482</c:v>
                </c:pt>
                <c:pt idx="129" formatCode="mm:ss.0">
                  <c:v>44102.114116064811</c:v>
                </c:pt>
                <c:pt idx="130" formatCode="mm:ss.0">
                  <c:v>44105.051131493055</c:v>
                </c:pt>
                <c:pt idx="131" formatCode="mm:ss.0">
                  <c:v>44104.918414178239</c:v>
                </c:pt>
                <c:pt idx="132" formatCode="mm:ss.0">
                  <c:v>44105.462251817131</c:v>
                </c:pt>
                <c:pt idx="133" formatCode="mm:ss.0">
                  <c:v>44105.43412820602</c:v>
                </c:pt>
                <c:pt idx="134" formatCode="mm:ss.0">
                  <c:v>44104.984386574077</c:v>
                </c:pt>
                <c:pt idx="135" formatCode="mm:ss.0">
                  <c:v>44107.557497118054</c:v>
                </c:pt>
                <c:pt idx="136" formatCode="mm:ss.0">
                  <c:v>44110.424841446758</c:v>
                </c:pt>
                <c:pt idx="137" formatCode="mm:ss.0">
                  <c:v>44110.246418055554</c:v>
                </c:pt>
                <c:pt idx="138" formatCode="mm:ss.0">
                  <c:v>44112.599068518517</c:v>
                </c:pt>
                <c:pt idx="139" formatCode="mm:ss.0">
                  <c:v>44113.890548518517</c:v>
                </c:pt>
                <c:pt idx="140" formatCode="mm:ss.0">
                  <c:v>44116.491174502313</c:v>
                </c:pt>
                <c:pt idx="141" formatCode="mm:ss.0">
                  <c:v>44116.174621620368</c:v>
                </c:pt>
                <c:pt idx="142" formatCode="mm:ss.0">
                  <c:v>44116.021297789353</c:v>
                </c:pt>
                <c:pt idx="143" formatCode="mm:ss.0">
                  <c:v>44123.906575868059</c:v>
                </c:pt>
                <c:pt idx="144" formatCode="mm:ss.0">
                  <c:v>44123.89745113426</c:v>
                </c:pt>
                <c:pt idx="145" formatCode="mm:ss.0">
                  <c:v>44123.871301817133</c:v>
                </c:pt>
                <c:pt idx="146" formatCode="mm:ss.0">
                  <c:v>44124.571730937503</c:v>
                </c:pt>
                <c:pt idx="147" formatCode="mm:ss.0">
                  <c:v>44124.171610787038</c:v>
                </c:pt>
                <c:pt idx="148" formatCode="mm:ss.0">
                  <c:v>44123.906575868059</c:v>
                </c:pt>
                <c:pt idx="149" formatCode="mm:ss.0">
                  <c:v>44123.89745113426</c:v>
                </c:pt>
                <c:pt idx="150" formatCode="mm:ss.0">
                  <c:v>44123.879427037034</c:v>
                </c:pt>
                <c:pt idx="151" formatCode="mm:ss.0">
                  <c:v>44123.871292476855</c:v>
                </c:pt>
                <c:pt idx="152" formatCode="mm:ss.0">
                  <c:v>44125.015670462963</c:v>
                </c:pt>
                <c:pt idx="153" formatCode="mm:ss.0">
                  <c:v>44126.500566770832</c:v>
                </c:pt>
                <c:pt idx="154" formatCode="mm:ss.0">
                  <c:v>44126.350080925928</c:v>
                </c:pt>
                <c:pt idx="155" formatCode="mm:ss.0">
                  <c:v>44125.958964074074</c:v>
                </c:pt>
                <c:pt idx="156" formatCode="mm:ss.0">
                  <c:v>44126.962877337966</c:v>
                </c:pt>
                <c:pt idx="157" formatCode="mm:ss.0">
                  <c:v>44131.587606400462</c:v>
                </c:pt>
                <c:pt idx="158" formatCode="mm:ss.0">
                  <c:v>44134.192008356484</c:v>
                </c:pt>
                <c:pt idx="159" formatCode="mm:ss.0">
                  <c:v>44134.107199849539</c:v>
                </c:pt>
                <c:pt idx="160" formatCode="mm:ss.0">
                  <c:v>44134.494069016204</c:v>
                </c:pt>
              </c:numCache>
            </c:numRef>
          </c:xVal>
          <c:yVal>
            <c:numRef>
              <c:f>Data!$A$2:$A$163</c:f>
              <c:numCache>
                <c:formatCode>General</c:formatCode>
                <c:ptCount val="162"/>
                <c:pt idx="0">
                  <c:v>5.8</c:v>
                </c:pt>
                <c:pt idx="1">
                  <c:v>5.9</c:v>
                </c:pt>
                <c:pt idx="2">
                  <c:v>5.4</c:v>
                </c:pt>
                <c:pt idx="3">
                  <c:v>6.3</c:v>
                </c:pt>
                <c:pt idx="4">
                  <c:v>5.2</c:v>
                </c:pt>
                <c:pt idx="5">
                  <c:v>4.5</c:v>
                </c:pt>
                <c:pt idx="6">
                  <c:v>5.5</c:v>
                </c:pt>
                <c:pt idx="7">
                  <c:v>5.0999999999999996</c:v>
                </c:pt>
                <c:pt idx="8">
                  <c:v>5.2</c:v>
                </c:pt>
                <c:pt idx="9">
                  <c:v>5.5</c:v>
                </c:pt>
                <c:pt idx="10">
                  <c:v>5.9</c:v>
                </c:pt>
                <c:pt idx="11">
                  <c:v>6.7</c:v>
                </c:pt>
                <c:pt idx="12">
                  <c:v>5.0999999999999996</c:v>
                </c:pt>
                <c:pt idx="13">
                  <c:v>4.9000000000000004</c:v>
                </c:pt>
                <c:pt idx="14">
                  <c:v>4.9000000000000004</c:v>
                </c:pt>
                <c:pt idx="15">
                  <c:v>4.9000000000000004</c:v>
                </c:pt>
                <c:pt idx="16">
                  <c:v>4.5999999999999996</c:v>
                </c:pt>
                <c:pt idx="17">
                  <c:v>5.4</c:v>
                </c:pt>
                <c:pt idx="18">
                  <c:v>5</c:v>
                </c:pt>
                <c:pt idx="19">
                  <c:v>5.0999999999999996</c:v>
                </c:pt>
                <c:pt idx="20">
                  <c:v>4.9000000000000004</c:v>
                </c:pt>
                <c:pt idx="21">
                  <c:v>5.8</c:v>
                </c:pt>
                <c:pt idx="22">
                  <c:v>7</c:v>
                </c:pt>
                <c:pt idx="23">
                  <c:v>5.9</c:v>
                </c:pt>
                <c:pt idx="24">
                  <c:v>5</c:v>
                </c:pt>
                <c:pt idx="25">
                  <c:v>5.7</c:v>
                </c:pt>
                <c:pt idx="26">
                  <c:v>6</c:v>
                </c:pt>
                <c:pt idx="27">
                  <c:v>5.0999999999999996</c:v>
                </c:pt>
                <c:pt idx="28">
                  <c:v>7.8</c:v>
                </c:pt>
                <c:pt idx="29">
                  <c:v>6.1</c:v>
                </c:pt>
                <c:pt idx="30">
                  <c:v>5.7</c:v>
                </c:pt>
                <c:pt idx="31">
                  <c:v>5.0999999999999996</c:v>
                </c:pt>
                <c:pt idx="32">
                  <c:v>5.8</c:v>
                </c:pt>
                <c:pt idx="33">
                  <c:v>4.7</c:v>
                </c:pt>
                <c:pt idx="34">
                  <c:v>5.0999999999999996</c:v>
                </c:pt>
                <c:pt idx="35">
                  <c:v>6.3</c:v>
                </c:pt>
                <c:pt idx="36">
                  <c:v>5.5</c:v>
                </c:pt>
                <c:pt idx="37">
                  <c:v>5.0999999999999996</c:v>
                </c:pt>
                <c:pt idx="38">
                  <c:v>4.9000000000000004</c:v>
                </c:pt>
                <c:pt idx="39">
                  <c:v>5</c:v>
                </c:pt>
                <c:pt idx="40">
                  <c:v>5</c:v>
                </c:pt>
                <c:pt idx="41">
                  <c:v>5.4</c:v>
                </c:pt>
                <c:pt idx="42">
                  <c:v>4.9000000000000004</c:v>
                </c:pt>
                <c:pt idx="43">
                  <c:v>5.5</c:v>
                </c:pt>
                <c:pt idx="44">
                  <c:v>6.1</c:v>
                </c:pt>
                <c:pt idx="45">
                  <c:v>5</c:v>
                </c:pt>
                <c:pt idx="46">
                  <c:v>4.8</c:v>
                </c:pt>
                <c:pt idx="47">
                  <c:v>5.6</c:v>
                </c:pt>
                <c:pt idx="48">
                  <c:v>4.9000000000000004</c:v>
                </c:pt>
                <c:pt idx="49">
                  <c:v>4.8</c:v>
                </c:pt>
                <c:pt idx="50">
                  <c:v>5</c:v>
                </c:pt>
                <c:pt idx="51">
                  <c:v>5.7</c:v>
                </c:pt>
                <c:pt idx="52">
                  <c:v>4.9000000000000004</c:v>
                </c:pt>
                <c:pt idx="53">
                  <c:v>6.4</c:v>
                </c:pt>
                <c:pt idx="54">
                  <c:v>5.6</c:v>
                </c:pt>
                <c:pt idx="55">
                  <c:v>4.9000000000000004</c:v>
                </c:pt>
                <c:pt idx="56">
                  <c:v>6.4</c:v>
                </c:pt>
                <c:pt idx="57">
                  <c:v>5.2</c:v>
                </c:pt>
                <c:pt idx="58">
                  <c:v>5.0999999999999996</c:v>
                </c:pt>
                <c:pt idx="59">
                  <c:v>4.9000000000000004</c:v>
                </c:pt>
                <c:pt idx="60">
                  <c:v>5.3</c:v>
                </c:pt>
                <c:pt idx="61">
                  <c:v>5.5</c:v>
                </c:pt>
                <c:pt idx="62">
                  <c:v>5.0999999999999996</c:v>
                </c:pt>
                <c:pt idx="63">
                  <c:v>5.2</c:v>
                </c:pt>
                <c:pt idx="64">
                  <c:v>5.2</c:v>
                </c:pt>
                <c:pt idx="65">
                  <c:v>6</c:v>
                </c:pt>
                <c:pt idx="66">
                  <c:v>5</c:v>
                </c:pt>
                <c:pt idx="67">
                  <c:v>5.6</c:v>
                </c:pt>
                <c:pt idx="68">
                  <c:v>5.7</c:v>
                </c:pt>
                <c:pt idx="69">
                  <c:v>2.9</c:v>
                </c:pt>
                <c:pt idx="70">
                  <c:v>5.7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4.7</c:v>
                </c:pt>
                <c:pt idx="75">
                  <c:v>6.9</c:v>
                </c:pt>
                <c:pt idx="76">
                  <c:v>5.0999999999999996</c:v>
                </c:pt>
                <c:pt idx="77">
                  <c:v>6.9</c:v>
                </c:pt>
                <c:pt idx="78">
                  <c:v>4.9000000000000004</c:v>
                </c:pt>
                <c:pt idx="79">
                  <c:v>5</c:v>
                </c:pt>
                <c:pt idx="80">
                  <c:v>5</c:v>
                </c:pt>
                <c:pt idx="81">
                  <c:v>6</c:v>
                </c:pt>
                <c:pt idx="82">
                  <c:v>5.2</c:v>
                </c:pt>
                <c:pt idx="83">
                  <c:v>5.5</c:v>
                </c:pt>
                <c:pt idx="84">
                  <c:v>4.5</c:v>
                </c:pt>
                <c:pt idx="85">
                  <c:v>4.8</c:v>
                </c:pt>
                <c:pt idx="86">
                  <c:v>5</c:v>
                </c:pt>
                <c:pt idx="87">
                  <c:v>5</c:v>
                </c:pt>
                <c:pt idx="88">
                  <c:v>6.5</c:v>
                </c:pt>
                <c:pt idx="89">
                  <c:v>-0.1</c:v>
                </c:pt>
                <c:pt idx="90">
                  <c:v>1.7</c:v>
                </c:pt>
                <c:pt idx="91">
                  <c:v>6.8</c:v>
                </c:pt>
                <c:pt idx="92">
                  <c:v>5.5</c:v>
                </c:pt>
                <c:pt idx="93">
                  <c:v>5.8</c:v>
                </c:pt>
                <c:pt idx="94">
                  <c:v>4.9000000000000004</c:v>
                </c:pt>
                <c:pt idx="95">
                  <c:v>3.7</c:v>
                </c:pt>
                <c:pt idx="96">
                  <c:v>6.6</c:v>
                </c:pt>
                <c:pt idx="97">
                  <c:v>5.3</c:v>
                </c:pt>
                <c:pt idx="98">
                  <c:v>6.2</c:v>
                </c:pt>
                <c:pt idx="99">
                  <c:v>5.7</c:v>
                </c:pt>
                <c:pt idx="100">
                  <c:v>6.2</c:v>
                </c:pt>
                <c:pt idx="101">
                  <c:v>5.9</c:v>
                </c:pt>
                <c:pt idx="102">
                  <c:v>5.3</c:v>
                </c:pt>
                <c:pt idx="103">
                  <c:v>5.6</c:v>
                </c:pt>
                <c:pt idx="104">
                  <c:v>5.6</c:v>
                </c:pt>
                <c:pt idx="105">
                  <c:v>6.3</c:v>
                </c:pt>
                <c:pt idx="106">
                  <c:v>5.9</c:v>
                </c:pt>
                <c:pt idx="107">
                  <c:v>6.1</c:v>
                </c:pt>
                <c:pt idx="108">
                  <c:v>5.2</c:v>
                </c:pt>
                <c:pt idx="109">
                  <c:v>3.1</c:v>
                </c:pt>
                <c:pt idx="110">
                  <c:v>2.7</c:v>
                </c:pt>
                <c:pt idx="111">
                  <c:v>2.8</c:v>
                </c:pt>
                <c:pt idx="112">
                  <c:v>2.8</c:v>
                </c:pt>
                <c:pt idx="113">
                  <c:v>2.7</c:v>
                </c:pt>
                <c:pt idx="114">
                  <c:v>2.9</c:v>
                </c:pt>
                <c:pt idx="115">
                  <c:v>4.5999999999999996</c:v>
                </c:pt>
                <c:pt idx="116">
                  <c:v>6.4</c:v>
                </c:pt>
                <c:pt idx="117">
                  <c:v>4.8</c:v>
                </c:pt>
                <c:pt idx="118">
                  <c:v>5.3</c:v>
                </c:pt>
                <c:pt idx="119">
                  <c:v>3.5</c:v>
                </c:pt>
                <c:pt idx="120">
                  <c:v>5.6</c:v>
                </c:pt>
                <c:pt idx="121">
                  <c:v>5.7</c:v>
                </c:pt>
                <c:pt idx="122">
                  <c:v>5.2</c:v>
                </c:pt>
                <c:pt idx="123">
                  <c:v>5.6</c:v>
                </c:pt>
                <c:pt idx="124">
                  <c:v>6.9</c:v>
                </c:pt>
                <c:pt idx="125">
                  <c:v>5.9</c:v>
                </c:pt>
                <c:pt idx="126">
                  <c:v>4.9000000000000004</c:v>
                </c:pt>
                <c:pt idx="127">
                  <c:v>3</c:v>
                </c:pt>
                <c:pt idx="128">
                  <c:v>3.5</c:v>
                </c:pt>
                <c:pt idx="129">
                  <c:v>5.2</c:v>
                </c:pt>
                <c:pt idx="130">
                  <c:v>6.4</c:v>
                </c:pt>
                <c:pt idx="131">
                  <c:v>4.5</c:v>
                </c:pt>
                <c:pt idx="132">
                  <c:v>5.0999999999999996</c:v>
                </c:pt>
                <c:pt idx="133">
                  <c:v>5.3</c:v>
                </c:pt>
                <c:pt idx="134">
                  <c:v>3.9</c:v>
                </c:pt>
                <c:pt idx="135">
                  <c:v>5.3</c:v>
                </c:pt>
                <c:pt idx="136">
                  <c:v>6</c:v>
                </c:pt>
                <c:pt idx="137">
                  <c:v>5.9</c:v>
                </c:pt>
                <c:pt idx="138">
                  <c:v>5.7</c:v>
                </c:pt>
                <c:pt idx="139">
                  <c:v>5.2</c:v>
                </c:pt>
                <c:pt idx="140">
                  <c:v>4.9000000000000004</c:v>
                </c:pt>
                <c:pt idx="141">
                  <c:v>5.2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5.5</c:v>
                </c:pt>
                <c:pt idx="145">
                  <c:v>7.5</c:v>
                </c:pt>
                <c:pt idx="146">
                  <c:v>5.6</c:v>
                </c:pt>
                <c:pt idx="147">
                  <c:v>5.6</c:v>
                </c:pt>
                <c:pt idx="148">
                  <c:v>5.9</c:v>
                </c:pt>
                <c:pt idx="149">
                  <c:v>5.5</c:v>
                </c:pt>
                <c:pt idx="150">
                  <c:v>5.7</c:v>
                </c:pt>
                <c:pt idx="151">
                  <c:v>7.6</c:v>
                </c:pt>
                <c:pt idx="152">
                  <c:v>5.9</c:v>
                </c:pt>
                <c:pt idx="153">
                  <c:v>4.7</c:v>
                </c:pt>
                <c:pt idx="154">
                  <c:v>5.8</c:v>
                </c:pt>
                <c:pt idx="155">
                  <c:v>5.2</c:v>
                </c:pt>
                <c:pt idx="156">
                  <c:v>5.0999999999999996</c:v>
                </c:pt>
                <c:pt idx="157">
                  <c:v>4.5</c:v>
                </c:pt>
                <c:pt idx="158">
                  <c:v>5.0999999999999996</c:v>
                </c:pt>
                <c:pt idx="159">
                  <c:v>5.3</c:v>
                </c:pt>
                <c:pt idx="160">
                  <c:v>7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#REF!$B$1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FFFF00"/>
              </a:solidFill>
              <a:ln w="9525">
                <a:solidFill>
                  <a:srgbClr val="00B050">
                    <a:alpha val="25000"/>
                  </a:srgbClr>
                </a:solidFill>
              </a:ln>
              <a:effectLst/>
            </c:spPr>
          </c:marker>
          <c:xVal>
            <c:numRef>
              <c:f>#REF!$A$1:$A$11224</c:f>
            </c:numRef>
          </c:xVal>
          <c:yVal>
            <c:numRef>
              <c:f>#REF!$B$1:$B$11224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355464"/>
        <c:axId val="460349584"/>
      </c:scatterChart>
      <c:valAx>
        <c:axId val="460355464"/>
        <c:scaling>
          <c:orientation val="minMax"/>
          <c:max val="44142"/>
          <c:min val="44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49584"/>
        <c:crossesAt val="-1"/>
        <c:crossBetween val="midCat"/>
      </c:valAx>
      <c:valAx>
        <c:axId val="460349584"/>
        <c:scaling>
          <c:orientation val="minMax"/>
          <c:max val="10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Earthquake</a:t>
                </a:r>
                <a:r>
                  <a:rPr lang="en-GB" baseline="0"/>
                  <a:t> Magnitude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939994225045629E-2"/>
              <c:y val="0.37207657827213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54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0"/>
  <sheetViews>
    <sheetView zoomScale="12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1"/>
  <sheetViews>
    <sheetView tabSelected="1" zoomScale="12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919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0.79042</cdr:x>
      <cdr:y>0.11616</cdr:y>
    </cdr:from>
    <cdr:to>
      <cdr:x>0.79538</cdr:x>
      <cdr:y>0.90656</cdr:y>
    </cdr:to>
    <cdr:sp macro="" textlink="">
      <cdr:nvSpPr>
        <cdr:cNvPr id="6" name="Rectangle 11"/>
        <cdr:cNvSpPr/>
      </cdr:nvSpPr>
      <cdr:spPr>
        <a:xfrm xmlns:a="http://schemas.openxmlformats.org/drawingml/2006/main">
          <a:off x="7358785" y="706699"/>
          <a:ext cx="46177" cy="48085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85000"/>
            <a:alpha val="7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0.76815</cdr:x>
      <cdr:y>0.11237</cdr:y>
    </cdr:from>
    <cdr:to>
      <cdr:x>0.76815</cdr:x>
      <cdr:y>0.90657</cdr:y>
    </cdr:to>
    <cdr:cxnSp macro="">
      <cdr:nvCxnSpPr>
        <cdr:cNvPr id="3" name="Straight Connector 2"/>
        <cdr:cNvCxnSpPr/>
      </cdr:nvCxnSpPr>
      <cdr:spPr>
        <a:xfrm xmlns:a="http://schemas.openxmlformats.org/drawingml/2006/main" flipV="1">
          <a:off x="7151457" y="683626"/>
          <a:ext cx="0" cy="4831683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0.58219</cdr:x>
      <cdr:y>0.11189</cdr:y>
    </cdr:from>
    <cdr:to>
      <cdr:x>0.58219</cdr:x>
      <cdr:y>0.90608</cdr:y>
    </cdr:to>
    <cdr:cxnSp macro="">
      <cdr:nvCxnSpPr>
        <cdr:cNvPr id="11" name="Straight Connector 10"/>
        <cdr:cNvCxnSpPr/>
      </cdr:nvCxnSpPr>
      <cdr:spPr>
        <a:xfrm xmlns:a="http://schemas.openxmlformats.org/drawingml/2006/main" flipV="1">
          <a:off x="5420135" y="680706"/>
          <a:ext cx="0" cy="4831622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0.76261</cdr:x>
      <cdr:y>0.12202</cdr:y>
    </cdr:from>
    <cdr:to>
      <cdr:x>0.86083</cdr:x>
      <cdr:y>0.27232</cdr:y>
    </cdr:to>
    <cdr:sp macro="" textlink="">
      <cdr:nvSpPr>
        <cdr:cNvPr id="9" name="TextBox 12"/>
        <cdr:cNvSpPr txBox="1"/>
      </cdr:nvSpPr>
      <cdr:spPr>
        <a:xfrm xmlns:a="http://schemas.openxmlformats.org/drawingml/2006/main">
          <a:off x="7099831" y="742334"/>
          <a:ext cx="914420" cy="9143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Caustic</a:t>
          </a:r>
        </a:p>
      </cdr:txBody>
    </cdr:sp>
  </cdr:relSizeAnchor>
  <cdr:relSizeAnchor xmlns:cdr="http://schemas.openxmlformats.org/drawingml/2006/chartDrawing">
    <cdr:from>
      <cdr:x>0.59818</cdr:x>
      <cdr:y>0.45535</cdr:y>
    </cdr:from>
    <cdr:to>
      <cdr:x>0.76073</cdr:x>
      <cdr:y>0.56692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564399" y="2770237"/>
          <a:ext cx="1512079" cy="678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GB" sz="1100">
              <a:solidFill>
                <a:srgbClr val="FF0000"/>
              </a:solidFill>
            </a:rPr>
            <a:t>Earthquakes for which </a:t>
          </a:r>
        </a:p>
        <a:p xmlns:a="http://schemas.openxmlformats.org/drawingml/2006/main">
          <a:pPr algn="ctr"/>
          <a:r>
            <a:rPr lang="en-GB" sz="1100">
              <a:solidFill>
                <a:srgbClr val="FF0000"/>
              </a:solidFill>
            </a:rPr>
            <a:t>RAD67 is in</a:t>
          </a:r>
          <a:r>
            <a:rPr lang="en-GB" sz="1100" baseline="0">
              <a:solidFill>
                <a:srgbClr val="FF0000"/>
              </a:solidFill>
            </a:rPr>
            <a:t> the </a:t>
          </a:r>
        </a:p>
        <a:p xmlns:a="http://schemas.openxmlformats.org/drawingml/2006/main">
          <a:pPr algn="ctr"/>
          <a:r>
            <a:rPr lang="en-GB" sz="1100" baseline="0">
              <a:solidFill>
                <a:srgbClr val="FF0000"/>
              </a:solidFill>
            </a:rPr>
            <a:t>c</a:t>
          </a:r>
          <a:r>
            <a:rPr lang="en-GB" sz="1100">
              <a:solidFill>
                <a:srgbClr val="FF0000"/>
              </a:solidFill>
            </a:rPr>
            <a:t>ore shadow zone</a:t>
          </a:r>
        </a:p>
      </cdr:txBody>
    </cdr:sp>
  </cdr:relSizeAnchor>
  <cdr:relSizeAnchor xmlns:cdr="http://schemas.openxmlformats.org/drawingml/2006/chartDrawing">
    <cdr:from>
      <cdr:x>0.08581</cdr:x>
      <cdr:y>0.125</cdr:y>
    </cdr:from>
    <cdr:to>
      <cdr:x>0.18403</cdr:x>
      <cdr:y>0.2753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798871" y="7604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0.07508</cdr:x>
      <cdr:y>0.13763</cdr:y>
    </cdr:from>
    <cdr:to>
      <cdr:x>0.1733</cdr:x>
      <cdr:y>0.28793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699012" y="83727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Legend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919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0.79125</cdr:x>
      <cdr:y>0.1149</cdr:y>
    </cdr:from>
    <cdr:to>
      <cdr:x>0.79621</cdr:x>
      <cdr:y>0.9053</cdr:y>
    </cdr:to>
    <cdr:sp macro="" textlink="">
      <cdr:nvSpPr>
        <cdr:cNvPr id="12" name="Rectangle 11"/>
        <cdr:cNvSpPr/>
      </cdr:nvSpPr>
      <cdr:spPr>
        <a:xfrm xmlns:a="http://schemas.openxmlformats.org/drawingml/2006/main">
          <a:off x="7366468" y="699018"/>
          <a:ext cx="46177" cy="48085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85000"/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0.76898</cdr:x>
      <cdr:y>0.11237</cdr:y>
    </cdr:from>
    <cdr:to>
      <cdr:x>0.76898</cdr:x>
      <cdr:y>0.90657</cdr:y>
    </cdr:to>
    <cdr:cxnSp macro="">
      <cdr:nvCxnSpPr>
        <cdr:cNvPr id="3" name="Straight Connector 2"/>
        <cdr:cNvCxnSpPr/>
      </cdr:nvCxnSpPr>
      <cdr:spPr>
        <a:xfrm xmlns:a="http://schemas.openxmlformats.org/drawingml/2006/main" flipV="1">
          <a:off x="7159138" y="683626"/>
          <a:ext cx="0" cy="4831683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0.59983</cdr:x>
      <cdr:y>0.80556</cdr:y>
    </cdr:from>
    <cdr:to>
      <cdr:x>0.76238</cdr:x>
      <cdr:y>1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584415" y="4900766"/>
          <a:ext cx="1513246" cy="11829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GB" sz="1100">
              <a:solidFill>
                <a:srgbClr val="FF0000"/>
              </a:solidFill>
            </a:rPr>
            <a:t>Earthquakes for which </a:t>
          </a:r>
        </a:p>
        <a:p xmlns:a="http://schemas.openxmlformats.org/drawingml/2006/main">
          <a:pPr algn="ctr"/>
          <a:r>
            <a:rPr lang="en-GB" sz="1100">
              <a:solidFill>
                <a:srgbClr val="FF0000"/>
              </a:solidFill>
            </a:rPr>
            <a:t>RAD67 is in</a:t>
          </a:r>
          <a:r>
            <a:rPr lang="en-GB" sz="1100" baseline="0">
              <a:solidFill>
                <a:srgbClr val="FF0000"/>
              </a:solidFill>
            </a:rPr>
            <a:t> the </a:t>
          </a:r>
        </a:p>
        <a:p xmlns:a="http://schemas.openxmlformats.org/drawingml/2006/main">
          <a:pPr algn="ctr"/>
          <a:r>
            <a:rPr lang="en-GB" sz="1100" baseline="0">
              <a:solidFill>
                <a:srgbClr val="FF0000"/>
              </a:solidFill>
            </a:rPr>
            <a:t>c</a:t>
          </a:r>
          <a:r>
            <a:rPr lang="en-GB" sz="1100">
              <a:solidFill>
                <a:srgbClr val="FF0000"/>
              </a:solidFill>
            </a:rPr>
            <a:t>ore shadow zone</a:t>
          </a:r>
        </a:p>
      </cdr:txBody>
    </cdr:sp>
  </cdr:relSizeAnchor>
  <cdr:relSizeAnchor xmlns:cdr="http://schemas.openxmlformats.org/drawingml/2006/chartDrawing">
    <cdr:from>
      <cdr:x>0.58301</cdr:x>
      <cdr:y>0.11315</cdr:y>
    </cdr:from>
    <cdr:to>
      <cdr:x>0.58301</cdr:x>
      <cdr:y>0.90734</cdr:y>
    </cdr:to>
    <cdr:cxnSp macro="">
      <cdr:nvCxnSpPr>
        <cdr:cNvPr id="11" name="Straight Connector 10"/>
        <cdr:cNvCxnSpPr/>
      </cdr:nvCxnSpPr>
      <cdr:spPr>
        <a:xfrm xmlns:a="http://schemas.openxmlformats.org/drawingml/2006/main" flipV="1">
          <a:off x="5427816" y="688387"/>
          <a:ext cx="0" cy="4831622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0.76155</cdr:x>
      <cdr:y>0.86397</cdr:y>
    </cdr:from>
    <cdr:to>
      <cdr:x>0.85977</cdr:x>
      <cdr:y>0.9029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7089963" y="5256127"/>
          <a:ext cx="914420" cy="2368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Caustic</a:t>
          </a:r>
        </a:p>
      </cdr:txBody>
    </cdr:sp>
  </cdr:relSizeAnchor>
  <cdr:relSizeAnchor xmlns:cdr="http://schemas.openxmlformats.org/drawingml/2006/chartDrawing">
    <cdr:from>
      <cdr:x>0.88087</cdr:x>
      <cdr:y>0.12704</cdr:y>
    </cdr:from>
    <cdr:to>
      <cdr:x>0.97909</cdr:x>
      <cdr:y>0.27734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8200821" y="77285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Legend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0.11024</cdr:x>
      <cdr:y>0.57779</cdr:y>
    </cdr:from>
    <cdr:to>
      <cdr:x>0.20846</cdr:x>
      <cdr:y>0.7281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26344" y="351513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Legend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msc-csem.org/Earthquake/earthquake.php?id=902188" TargetMode="External"/><Relationship Id="rId2" Type="http://schemas.openxmlformats.org/officeDocument/2006/relationships/hyperlink" Target="https://earthquake.usgs.gov/earthquakes/eventpage/us7000adtk/executive" TargetMode="External"/><Relationship Id="rId1" Type="http://schemas.openxmlformats.org/officeDocument/2006/relationships/hyperlink" Target="https://www.emsc-csem.org/Earthquake/earthquake.php?id=871687" TargetMode="External"/><Relationship Id="rId4" Type="http://schemas.openxmlformats.org/officeDocument/2006/relationships/hyperlink" Target="https://www.emsc-csem.org/Earthquake/earthquake.php?id=9020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0"/>
  <sheetViews>
    <sheetView workbookViewId="0">
      <selection activeCell="H3" sqref="H3:H9"/>
    </sheetView>
  </sheetViews>
  <sheetFormatPr defaultRowHeight="15" x14ac:dyDescent="0.25"/>
  <cols>
    <col min="1" max="1" width="8.5703125" bestFit="1" customWidth="1"/>
    <col min="2" max="2" width="6.42578125" bestFit="1" customWidth="1"/>
    <col min="3" max="3" width="10.5703125" bestFit="1" customWidth="1"/>
    <col min="4" max="4" width="5.7109375" bestFit="1" customWidth="1"/>
    <col min="6" max="6" width="8.5703125" bestFit="1" customWidth="1"/>
    <col min="7" max="7" width="6.42578125" bestFit="1" customWidth="1"/>
    <col min="8" max="8" width="10.5703125" bestFit="1" customWidth="1"/>
    <col min="9" max="9" width="10.85546875" bestFit="1" customWidth="1"/>
    <col min="11" max="11" width="15.85546875" bestFit="1" customWidth="1"/>
    <col min="12" max="12" width="10.5703125" bestFit="1" customWidth="1"/>
  </cols>
  <sheetData>
    <row r="1" spans="1:14" x14ac:dyDescent="0.25">
      <c r="A1" t="s">
        <v>306</v>
      </c>
      <c r="B1" t="s">
        <v>307</v>
      </c>
      <c r="C1" t="s">
        <v>1</v>
      </c>
      <c r="D1" t="s">
        <v>308</v>
      </c>
      <c r="F1" t="s">
        <v>306</v>
      </c>
      <c r="G1" t="s">
        <v>307</v>
      </c>
      <c r="H1" t="s">
        <v>1</v>
      </c>
      <c r="I1" t="s">
        <v>308</v>
      </c>
      <c r="K1" t="s">
        <v>326</v>
      </c>
      <c r="L1" t="s">
        <v>1</v>
      </c>
      <c r="M1" t="s">
        <v>307</v>
      </c>
      <c r="N1" t="s">
        <v>308</v>
      </c>
    </row>
    <row r="2" spans="1:14" x14ac:dyDescent="0.25">
      <c r="A2">
        <v>7</v>
      </c>
      <c r="B2">
        <v>625</v>
      </c>
      <c r="C2">
        <v>9</v>
      </c>
      <c r="D2" t="s">
        <v>309</v>
      </c>
      <c r="F2">
        <v>164</v>
      </c>
      <c r="G2">
        <v>600</v>
      </c>
      <c r="H2">
        <v>9.1</v>
      </c>
      <c r="I2" t="s">
        <v>318</v>
      </c>
      <c r="K2" s="7">
        <v>44010.958333333336</v>
      </c>
      <c r="L2">
        <v>2.6</v>
      </c>
      <c r="M2">
        <v>600</v>
      </c>
      <c r="N2" t="s">
        <v>318</v>
      </c>
    </row>
    <row r="3" spans="1:14" x14ac:dyDescent="0.25">
      <c r="A3">
        <v>7</v>
      </c>
      <c r="B3">
        <f>B2-35</f>
        <v>590</v>
      </c>
      <c r="C3">
        <v>8</v>
      </c>
      <c r="D3" t="s">
        <v>310</v>
      </c>
      <c r="F3">
        <v>164</v>
      </c>
      <c r="G3">
        <v>500</v>
      </c>
      <c r="H3">
        <f>H2-0.4</f>
        <v>8.6999999999999993</v>
      </c>
      <c r="I3" t="s">
        <v>319</v>
      </c>
      <c r="K3" s="7">
        <v>44010.958333333336</v>
      </c>
      <c r="L3">
        <f>L2-0.4</f>
        <v>2.2000000000000002</v>
      </c>
      <c r="M3">
        <v>500</v>
      </c>
      <c r="N3" t="s">
        <v>319</v>
      </c>
    </row>
    <row r="4" spans="1:14" x14ac:dyDescent="0.25">
      <c r="A4">
        <v>7</v>
      </c>
      <c r="B4">
        <f t="shared" ref="B4:B10" si="0">B3-35</f>
        <v>555</v>
      </c>
      <c r="C4">
        <v>7</v>
      </c>
      <c r="D4" t="s">
        <v>311</v>
      </c>
      <c r="F4">
        <v>164</v>
      </c>
      <c r="G4">
        <v>400</v>
      </c>
      <c r="H4">
        <f t="shared" ref="H4:H9" si="1">H3-0.4</f>
        <v>8.2999999999999989</v>
      </c>
      <c r="I4" t="s">
        <v>320</v>
      </c>
      <c r="K4" s="7">
        <v>44010.958333333336</v>
      </c>
      <c r="L4">
        <f t="shared" ref="L4:L9" si="2">L3-0.4</f>
        <v>1.8000000000000003</v>
      </c>
      <c r="M4">
        <v>400</v>
      </c>
      <c r="N4" t="s">
        <v>320</v>
      </c>
    </row>
    <row r="5" spans="1:14" x14ac:dyDescent="0.25">
      <c r="A5">
        <v>7</v>
      </c>
      <c r="B5">
        <f t="shared" si="0"/>
        <v>520</v>
      </c>
      <c r="C5">
        <v>6</v>
      </c>
      <c r="D5" t="s">
        <v>312</v>
      </c>
      <c r="F5">
        <v>164</v>
      </c>
      <c r="G5">
        <v>300</v>
      </c>
      <c r="H5">
        <f t="shared" si="1"/>
        <v>7.8999999999999986</v>
      </c>
      <c r="I5" t="s">
        <v>321</v>
      </c>
      <c r="K5" s="7">
        <v>44010.958333333336</v>
      </c>
      <c r="L5">
        <f t="shared" si="2"/>
        <v>1.4000000000000004</v>
      </c>
      <c r="M5">
        <v>300</v>
      </c>
      <c r="N5" t="s">
        <v>321</v>
      </c>
    </row>
    <row r="6" spans="1:14" x14ac:dyDescent="0.25">
      <c r="A6">
        <v>7</v>
      </c>
      <c r="B6">
        <f t="shared" si="0"/>
        <v>485</v>
      </c>
      <c r="C6">
        <v>5</v>
      </c>
      <c r="D6" t="s">
        <v>313</v>
      </c>
      <c r="F6">
        <v>164</v>
      </c>
      <c r="G6">
        <v>200</v>
      </c>
      <c r="H6">
        <f t="shared" si="1"/>
        <v>7.4999999999999982</v>
      </c>
      <c r="I6" t="s">
        <v>322</v>
      </c>
      <c r="K6" s="7">
        <v>44010.958333333336</v>
      </c>
      <c r="L6">
        <f t="shared" si="2"/>
        <v>1.0000000000000004</v>
      </c>
      <c r="M6">
        <v>200</v>
      </c>
      <c r="N6" t="s">
        <v>322</v>
      </c>
    </row>
    <row r="7" spans="1:14" x14ac:dyDescent="0.25">
      <c r="A7">
        <v>7</v>
      </c>
      <c r="B7">
        <f t="shared" si="0"/>
        <v>450</v>
      </c>
      <c r="C7">
        <v>4</v>
      </c>
      <c r="D7" t="s">
        <v>314</v>
      </c>
      <c r="F7">
        <v>164</v>
      </c>
      <c r="G7">
        <v>100</v>
      </c>
      <c r="H7">
        <f t="shared" si="1"/>
        <v>7.0999999999999979</v>
      </c>
      <c r="I7" t="s">
        <v>323</v>
      </c>
      <c r="K7" s="7">
        <v>44010.958333333336</v>
      </c>
      <c r="L7">
        <f t="shared" si="2"/>
        <v>0.60000000000000042</v>
      </c>
      <c r="M7">
        <v>100</v>
      </c>
      <c r="N7" t="s">
        <v>323</v>
      </c>
    </row>
    <row r="8" spans="1:14" x14ac:dyDescent="0.25">
      <c r="A8">
        <v>7</v>
      </c>
      <c r="B8">
        <f t="shared" si="0"/>
        <v>415</v>
      </c>
      <c r="C8">
        <v>3</v>
      </c>
      <c r="D8" t="s">
        <v>315</v>
      </c>
      <c r="F8">
        <v>164</v>
      </c>
      <c r="G8">
        <v>25</v>
      </c>
      <c r="H8">
        <f t="shared" si="1"/>
        <v>6.6999999999999975</v>
      </c>
      <c r="I8" t="s">
        <v>324</v>
      </c>
      <c r="K8" s="7">
        <v>44010.958333333336</v>
      </c>
      <c r="L8">
        <f t="shared" si="2"/>
        <v>0.2000000000000004</v>
      </c>
      <c r="M8">
        <v>25</v>
      </c>
      <c r="N8" t="s">
        <v>324</v>
      </c>
    </row>
    <row r="9" spans="1:14" x14ac:dyDescent="0.25">
      <c r="A9">
        <v>7</v>
      </c>
      <c r="B9">
        <f t="shared" si="0"/>
        <v>380</v>
      </c>
      <c r="C9">
        <v>2</v>
      </c>
      <c r="D9" t="s">
        <v>316</v>
      </c>
      <c r="F9">
        <v>164</v>
      </c>
      <c r="G9">
        <v>0</v>
      </c>
      <c r="H9">
        <f t="shared" si="1"/>
        <v>6.2999999999999972</v>
      </c>
      <c r="I9" t="s">
        <v>325</v>
      </c>
      <c r="K9" s="7">
        <v>44010.958333333336</v>
      </c>
      <c r="L9">
        <f t="shared" si="2"/>
        <v>-0.19999999999999962</v>
      </c>
      <c r="M9">
        <v>0</v>
      </c>
      <c r="N9" t="s">
        <v>325</v>
      </c>
    </row>
    <row r="10" spans="1:14" x14ac:dyDescent="0.25">
      <c r="A10">
        <v>7</v>
      </c>
      <c r="B10">
        <f t="shared" si="0"/>
        <v>345</v>
      </c>
      <c r="C10">
        <v>1</v>
      </c>
      <c r="D10" t="s">
        <v>317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62"/>
  <sheetViews>
    <sheetView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K162" sqref="K2:K162"/>
    </sheetView>
  </sheetViews>
  <sheetFormatPr defaultRowHeight="15" x14ac:dyDescent="0.25"/>
  <cols>
    <col min="1" max="1" width="10.7109375" bestFit="1" customWidth="1"/>
    <col min="2" max="2" width="44.28515625" bestFit="1" customWidth="1"/>
    <col min="3" max="3" width="11.140625" bestFit="1" customWidth="1"/>
    <col min="4" max="4" width="12.7109375" bestFit="1" customWidth="1"/>
    <col min="5" max="5" width="11.140625" bestFit="1" customWidth="1"/>
    <col min="6" max="6" width="18.7109375" bestFit="1" customWidth="1"/>
    <col min="7" max="7" width="13.42578125" bestFit="1" customWidth="1"/>
    <col min="8" max="8" width="12.140625" bestFit="1" customWidth="1"/>
    <col min="9" max="9" width="12" customWidth="1"/>
    <col min="10" max="10" width="72.7109375" bestFit="1" customWidth="1"/>
    <col min="11" max="11" width="60.28515625" bestFit="1" customWidth="1"/>
    <col min="12" max="12" width="69.2851562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106</v>
      </c>
      <c r="J1" s="1" t="s">
        <v>9</v>
      </c>
      <c r="K1" s="2"/>
    </row>
    <row r="2" spans="1:12" s="1" customFormat="1" x14ac:dyDescent="0.25">
      <c r="A2" s="1">
        <v>5.8</v>
      </c>
      <c r="B2" s="1" t="s">
        <v>0</v>
      </c>
      <c r="C2" s="1">
        <v>36.446833300000002</v>
      </c>
      <c r="D2" s="1">
        <v>-117.9751667</v>
      </c>
      <c r="E2" s="5">
        <v>4.66</v>
      </c>
      <c r="F2" s="4">
        <v>44006.736681018519</v>
      </c>
      <c r="G2" s="1">
        <v>8370.2302219371795</v>
      </c>
      <c r="H2" s="1">
        <v>75.086625692799998</v>
      </c>
      <c r="I2" s="1">
        <v>702.976</v>
      </c>
      <c r="J2" s="1" t="s">
        <v>10</v>
      </c>
      <c r="K2" s="1" t="str">
        <f t="shared" ref="K2:K33" si="0">"['" &amp; A2 &amp; " " &amp; B2 &amp; "'," &amp; C2 &amp; "," &amp; D2 &amp; "],"</f>
        <v>['5.8 18km SSE of Lone Pine, CA',36.4468333,-117.9751667],</v>
      </c>
      <c r="L2" s="1" t="str">
        <f t="shared" ref="L2:L33" si="1">"[" &amp; C2 &amp; ", " &amp; D2 &amp; "," &amp; E2 &amp; ",'" &amp; TEXT(F2,"yyyy-mm-dd hh:mm:ss") &amp; "', " &amp; H2 &amp; ", " &amp; I2 &amp; ", 'M" &amp; A2 &amp; " " &amp; B2 &amp; "','" &amp; J2 &amp; "']"</f>
        <v>[36.4468333, -117.9751667,4.66,'2020-06-24 17:40:49', 75.0866256928, 702.976, 'M5.8 18km SSE of Lone Pine, CA','https://earthquake.usgs.gov/earthquakes/eventpage/ci39493944/executive']</v>
      </c>
    </row>
    <row r="3" spans="1:12" s="1" customFormat="1" x14ac:dyDescent="0.25">
      <c r="A3" s="1">
        <v>5.9</v>
      </c>
      <c r="B3" s="1" t="s">
        <v>54</v>
      </c>
      <c r="C3" s="1">
        <v>35.466099999999997</v>
      </c>
      <c r="D3" s="1">
        <v>141.10050000000001</v>
      </c>
      <c r="E3" s="5">
        <v>28.88</v>
      </c>
      <c r="F3" s="4">
        <v>44006.824825104166</v>
      </c>
      <c r="G3" s="1">
        <v>9950.5497759163409</v>
      </c>
      <c r="H3" s="1">
        <v>89.270748203799997</v>
      </c>
      <c r="I3" s="1">
        <v>773.28700000000003</v>
      </c>
      <c r="J3" s="1" t="s">
        <v>11</v>
      </c>
      <c r="K3" s="1" t="str">
        <f t="shared" si="0"/>
        <v>['5.9 38 km SE of Hasaki, Japan',35.4661,141.1005],</v>
      </c>
      <c r="L3" s="1" t="str">
        <f t="shared" si="1"/>
        <v>[35.4661, 141.1005,28.88,'2020-06-24 19:47:45', 89.2707482038, 773.287, 'M5.9 38 km SE of Hasaki, Japan','https://earthquake.usgs.gov/earthquakes/eventpage/us7000aabt/executive']</v>
      </c>
    </row>
    <row r="4" spans="1:12" s="1" customFormat="1" ht="15.75" customHeight="1" x14ac:dyDescent="0.25">
      <c r="A4" s="1">
        <v>5.4</v>
      </c>
      <c r="B4" s="1" t="s">
        <v>59</v>
      </c>
      <c r="C4" s="1">
        <v>38.558300000000003</v>
      </c>
      <c r="D4" s="1">
        <v>44.023200000000003</v>
      </c>
      <c r="E4" s="5">
        <v>10</v>
      </c>
      <c r="F4" s="4">
        <v>44007.419110428244</v>
      </c>
      <c r="G4" s="1">
        <v>4046.1726711668298</v>
      </c>
      <c r="H4" s="1">
        <v>36.3010913763</v>
      </c>
      <c r="I4" s="1">
        <v>423.59</v>
      </c>
      <c r="J4" s="1" t="s">
        <v>12</v>
      </c>
      <c r="K4" s="1" t="str">
        <f t="shared" si="0"/>
        <v>['5.4 11 km SSE of Azalp, Turkey',38.5583,44.0232],</v>
      </c>
      <c r="L4" s="1" t="str">
        <f t="shared" si="1"/>
        <v>[38.5583, 44.0232,10,'2020-06-25 10:03:31', 36.3010913763, 423.59, 'M5.4 11 km SSE of Azalp, Turkey','https://earthquake.usgs.gov/earthquakes/eventpage/us7000aavx/executive']</v>
      </c>
    </row>
    <row r="5" spans="1:12" s="1" customFormat="1" x14ac:dyDescent="0.25">
      <c r="A5" s="1">
        <v>6.3</v>
      </c>
      <c r="B5" s="1" t="s">
        <v>53</v>
      </c>
      <c r="C5" s="1">
        <v>35.594799999999999</v>
      </c>
      <c r="D5" s="1">
        <v>82.415800000000004</v>
      </c>
      <c r="E5" s="5">
        <v>10</v>
      </c>
      <c r="F5" s="4">
        <v>44007.878682349539</v>
      </c>
      <c r="G5" s="1">
        <v>6912.6790648126298</v>
      </c>
      <c r="H5" s="1">
        <v>62.015921575500002</v>
      </c>
      <c r="I5" s="1">
        <v>620.38199999999995</v>
      </c>
      <c r="J5" s="1" t="s">
        <v>13</v>
      </c>
      <c r="K5" s="1" t="str">
        <f t="shared" si="0"/>
        <v>['6.3 278 km SE of Hotan, China',35.5948,82.4158],</v>
      </c>
      <c r="L5" s="1" t="str">
        <f t="shared" si="1"/>
        <v>[35.5948, 82.4158,10,'2020-06-25 21:05:18', 62.0159215755, 620.382, 'M6.3 278 km SE of Hotan, China','https://earthquake.usgs.gov/earthquakes/eventpage/us7000abmk/executive']</v>
      </c>
    </row>
    <row r="6" spans="1:12" s="1" customFormat="1" x14ac:dyDescent="0.25">
      <c r="A6" s="1">
        <v>5.2</v>
      </c>
      <c r="B6" s="1" t="s">
        <v>58</v>
      </c>
      <c r="C6" s="1">
        <v>38.790700000000001</v>
      </c>
      <c r="D6" s="1">
        <v>27.794</v>
      </c>
      <c r="E6" s="5">
        <v>10</v>
      </c>
      <c r="F6" s="4">
        <v>44008.306395092593</v>
      </c>
      <c r="G6" s="1">
        <v>2882.54969036074</v>
      </c>
      <c r="H6" s="1">
        <v>25.869256543199999</v>
      </c>
      <c r="I6" s="1">
        <v>331.79399999999998</v>
      </c>
      <c r="J6" s="1" t="s">
        <v>14</v>
      </c>
      <c r="K6" s="1" t="str">
        <f t="shared" si="0"/>
        <v>['5.2 13 km NW of Galmarmara, Turkey',38.7907,27.794],</v>
      </c>
      <c r="L6" s="1" t="str">
        <f t="shared" si="1"/>
        <v>[38.7907, 27.794,10,'2020-06-26 07:21:13', 25.8692565432, 331.794, 'M5.2 13 km NW of Galmarmara, Turkey','https://earthquake.usgs.gov/earthquakes/eventpage/us7000abxv/executive']</v>
      </c>
    </row>
    <row r="7" spans="1:12" s="1" customFormat="1" x14ac:dyDescent="0.25">
      <c r="A7" s="1">
        <v>4.5</v>
      </c>
      <c r="B7" s="1" t="s">
        <v>15</v>
      </c>
      <c r="C7" s="1">
        <v>47.53</v>
      </c>
      <c r="D7" s="1">
        <v>-5.44</v>
      </c>
      <c r="E7" s="5">
        <v>2</v>
      </c>
      <c r="F7" s="4">
        <v>44009.457928240743</v>
      </c>
      <c r="G7" s="1">
        <v>301.79772769876899</v>
      </c>
      <c r="H7" s="1">
        <v>2.71379520746</v>
      </c>
      <c r="I7" s="1">
        <v>44.603000000000002</v>
      </c>
      <c r="J7" s="3" t="s">
        <v>16</v>
      </c>
      <c r="K7" s="1" t="str">
        <f t="shared" si="0"/>
        <v>['4.5 N Atlantic West of Lorient',47.53,-5.44],</v>
      </c>
      <c r="L7" s="1" t="str">
        <f t="shared" si="1"/>
        <v>[47.53, -5.44,2,'2020-06-27 10:59:25', 2.71379520746, 44.603, 'M4.5 N Atlantic West of Lorient','https://www.emsc-csem.org/Earthquake/earthquake.php?id=871687']</v>
      </c>
    </row>
    <row r="8" spans="1:12" s="1" customFormat="1" x14ac:dyDescent="0.25">
      <c r="A8" s="1">
        <v>5.5</v>
      </c>
      <c r="B8" s="1" t="s">
        <v>17</v>
      </c>
      <c r="C8" s="1">
        <v>36.730699999999999</v>
      </c>
      <c r="D8" s="1">
        <v>28.2514</v>
      </c>
      <c r="E8" s="5">
        <v>62.26</v>
      </c>
      <c r="F8" s="4">
        <v>44010.738527488429</v>
      </c>
      <c r="G8" s="1">
        <v>3056.5221738238602</v>
      </c>
      <c r="H8" s="1">
        <v>27.437413179899998</v>
      </c>
      <c r="I8" s="1">
        <v>339.88299999999998</v>
      </c>
      <c r="J8" s="3" t="s">
        <v>18</v>
      </c>
      <c r="K8" s="1" t="str">
        <f t="shared" si="0"/>
        <v>['5.5 13 km S of Marmaris, Turkey',36.7307,28.2514],</v>
      </c>
      <c r="L8" s="1" t="str">
        <f t="shared" si="1"/>
        <v>[36.7307, 28.2514,62.26,'2020-06-28 17:43:29', 27.4374131799, 339.883, 'M5.5 13 km S of Marmaris, Turkey','https://earthquake.usgs.gov/earthquakes/eventpage/us7000adtk/executive']</v>
      </c>
    </row>
    <row r="9" spans="1:12" s="1" customFormat="1" x14ac:dyDescent="0.25">
      <c r="A9" s="1">
        <v>5.0999999999999996</v>
      </c>
      <c r="B9" s="1" t="s">
        <v>51</v>
      </c>
      <c r="C9" s="1">
        <v>-19.542899999999999</v>
      </c>
      <c r="D9" s="1">
        <v>169.2234</v>
      </c>
      <c r="E9" s="5">
        <v>98.54</v>
      </c>
      <c r="F9" s="4">
        <v>44012.923722731481</v>
      </c>
      <c r="G9" s="1">
        <v>16562.858986417301</v>
      </c>
      <c r="H9" s="1">
        <v>148.98367856300001</v>
      </c>
      <c r="I9" s="1">
        <v>1031.127</v>
      </c>
      <c r="J9" s="1" t="s">
        <v>52</v>
      </c>
      <c r="K9" s="1" t="str">
        <f t="shared" si="0"/>
        <v>['5.1 6 km W of Isangel, Vanuatu',-19.5429,169.2234],</v>
      </c>
      <c r="L9" s="1" t="str">
        <f t="shared" si="1"/>
        <v>[-19.5429, 169.2234,98.54,'2020-06-30 22:10:10', 148.983678563, 1031.127, 'M5.1 6 km W of Isangel, Vanuatu','https://earthquake.usgs.gov/earthquakes/eventpage/us7000afhl/executive']</v>
      </c>
    </row>
    <row r="10" spans="1:12" s="1" customFormat="1" x14ac:dyDescent="0.25">
      <c r="A10" s="1">
        <v>5.2</v>
      </c>
      <c r="B10" s="1" t="s">
        <v>19</v>
      </c>
      <c r="C10" s="1">
        <v>43.7226</v>
      </c>
      <c r="D10" s="1">
        <v>148.0257</v>
      </c>
      <c r="E10" s="5">
        <v>35</v>
      </c>
      <c r="F10" s="4">
        <v>44014.296800138887</v>
      </c>
      <c r="G10" s="1">
        <v>9275.2786246608594</v>
      </c>
      <c r="H10" s="1">
        <v>83.182885301799999</v>
      </c>
      <c r="I10" s="1">
        <v>742.49800000000005</v>
      </c>
      <c r="J10" s="1" t="s">
        <v>20</v>
      </c>
      <c r="K10" s="1" t="str">
        <f t="shared" si="0"/>
        <v>['5.2 105 km E of Shikotan, Russia',43.7226,148.0257],</v>
      </c>
      <c r="L10" s="1" t="str">
        <f t="shared" si="1"/>
        <v>[43.7226, 148.0257,35,'2020-07-02 07:07:24', 83.1828853018, 742.498, 'M5.2 105 km E of Shikotan, Russia','https://earthquake.usgs.gov/earthquakes/eventpage/us7000agh1/executive']</v>
      </c>
    </row>
    <row r="11" spans="1:12" s="1" customFormat="1" x14ac:dyDescent="0.25">
      <c r="A11" s="1">
        <v>5.5</v>
      </c>
      <c r="B11" s="1" t="s">
        <v>21</v>
      </c>
      <c r="C11" s="1">
        <v>53.365900000000003</v>
      </c>
      <c r="D11" s="1">
        <v>-160.4307</v>
      </c>
      <c r="E11" s="5">
        <v>10</v>
      </c>
      <c r="F11" s="4">
        <v>44017.370544988429</v>
      </c>
      <c r="G11" s="1">
        <v>8289.6937759885896</v>
      </c>
      <c r="H11" s="1">
        <v>74.319200800499999</v>
      </c>
      <c r="I11" s="1">
        <v>697.64700000000005</v>
      </c>
      <c r="J11" s="1" t="s">
        <v>22</v>
      </c>
      <c r="K11" s="1" t="str">
        <f t="shared" si="0"/>
        <v>['5.5 219 km S of Sand Point, Alaska',53.3659,-160.4307],</v>
      </c>
      <c r="L11" s="1" t="str">
        <f t="shared" si="1"/>
        <v>[53.3659, -160.4307,10,'2020-07-05 08:53:35', 74.3192008005, 697.647, 'M5.5 219 km S of Sand Point, Alaska','https://earthquake.usgs.gov/earthquakes/eventpage/us7000ai7p/executive']</v>
      </c>
    </row>
    <row r="12" spans="1:12" s="1" customFormat="1" x14ac:dyDescent="0.25">
      <c r="A12" s="1">
        <v>5.9</v>
      </c>
      <c r="B12" s="1" t="s">
        <v>23</v>
      </c>
      <c r="C12" s="1">
        <v>-14.926</v>
      </c>
      <c r="D12" s="1">
        <v>167.3646</v>
      </c>
      <c r="E12" s="5">
        <v>120.52</v>
      </c>
      <c r="F12" s="4">
        <v>44017.784744872682</v>
      </c>
      <c r="G12" s="1">
        <v>16030.417956802799</v>
      </c>
      <c r="H12" s="1">
        <v>144.17318855400001</v>
      </c>
      <c r="I12" s="1">
        <v>1007.193</v>
      </c>
      <c r="J12" s="1" t="s">
        <v>24</v>
      </c>
      <c r="K12" s="1" t="str">
        <f t="shared" si="0"/>
        <v>['5.9 33 km ENE of Port-Olry, Vanuatu',-14.926,167.3646],</v>
      </c>
      <c r="L12" s="1" t="str">
        <f t="shared" si="1"/>
        <v>[-14.926, 167.3646,120.52,'2020-07-05 18:50:02', 144.173188554, 1007.193, 'M5.9 33 km ENE of Port-Olry, Vanuatu','https://earthquake.usgs.gov/earthquakes/eventpage/us7000aid9/executive']</v>
      </c>
    </row>
    <row r="13" spans="1:12" s="1" customFormat="1" x14ac:dyDescent="0.25">
      <c r="A13" s="1">
        <v>6.7</v>
      </c>
      <c r="B13" s="1" t="s">
        <v>49</v>
      </c>
      <c r="C13" s="1">
        <v>-5.5956000000000001</v>
      </c>
      <c r="D13" s="1">
        <v>110.6952</v>
      </c>
      <c r="E13" s="5">
        <v>538.73</v>
      </c>
      <c r="F13" s="4">
        <v>44018.954721030095</v>
      </c>
      <c r="G13" s="1">
        <v>12307.5240734173</v>
      </c>
      <c r="H13" s="1">
        <v>110.6570121</v>
      </c>
      <c r="I13" s="1">
        <v>814.346</v>
      </c>
      <c r="J13" s="1" t="s">
        <v>50</v>
      </c>
      <c r="K13" s="1" t="str">
        <f t="shared" si="0"/>
        <v>['6.7 98 km N of Batang, Indonesia',-5.5956,110.6952],</v>
      </c>
      <c r="L13" s="1" t="str">
        <f t="shared" si="1"/>
        <v>[-5.5956, 110.6952,538.73,'2020-07-06 22:54:48', 110.6570121, 814.346, 'M6.7 98 km N of Batang, Indonesia','https://earthquake.usgs.gov/earthquakes/eventpage/us7000aj3w/executive']</v>
      </c>
    </row>
    <row r="14" spans="1:12" x14ac:dyDescent="0.25">
      <c r="A14" s="1">
        <v>5.0999999999999996</v>
      </c>
      <c r="B14" s="1" t="s">
        <v>47</v>
      </c>
      <c r="C14" s="1">
        <v>56.017699999999998</v>
      </c>
      <c r="D14" s="1">
        <v>-153.62029999999999</v>
      </c>
      <c r="E14" s="5">
        <v>3.4</v>
      </c>
      <c r="F14" s="4">
        <v>44020.046558032409</v>
      </c>
      <c r="G14" s="1">
        <v>7870.9999980676002</v>
      </c>
      <c r="H14" s="1">
        <v>70.560283962200003</v>
      </c>
      <c r="I14" s="1">
        <v>676.29399999999998</v>
      </c>
      <c r="J14" s="1" t="s">
        <v>48</v>
      </c>
      <c r="K14" s="1" t="str">
        <f t="shared" si="0"/>
        <v>['5.1 108 km SSE of Akhiok, Alaska',56.0177,-153.6203],</v>
      </c>
      <c r="L14" s="1" t="str">
        <f t="shared" si="1"/>
        <v>[56.0177, -153.6203,3.4,'2020-07-08 01:07:03', 70.5602839622, 676.294, 'M5.1 108 km SSE of Akhiok, Alaska','https://earthquake.usgs.gov/earthquakes/eventpage/ak0208q8qvl8/executive']</v>
      </c>
    </row>
    <row r="15" spans="1:12" x14ac:dyDescent="0.25">
      <c r="A15" s="1">
        <v>4.9000000000000004</v>
      </c>
      <c r="B15" s="1" t="s">
        <v>55</v>
      </c>
      <c r="C15" s="1">
        <v>45.749099999999999</v>
      </c>
      <c r="D15" s="1">
        <v>149.48949999999999</v>
      </c>
      <c r="E15" s="5">
        <v>131.87</v>
      </c>
      <c r="F15" s="4">
        <v>44021.218084039348</v>
      </c>
      <c r="G15" s="1">
        <v>9092.1709785063704</v>
      </c>
      <c r="H15" s="1">
        <v>81.534356673999994</v>
      </c>
      <c r="I15" s="1">
        <v>722.79700000000003</v>
      </c>
      <c r="J15" s="1" t="s">
        <v>46</v>
      </c>
      <c r="K15" s="1" t="str">
        <f t="shared" si="0"/>
        <v>['4.9 138 km ENE of Kuril'sk, Russia',45.7491,149.4895],</v>
      </c>
      <c r="L15" s="1" t="str">
        <f t="shared" si="1"/>
        <v>[45.7491, 149.4895,131.87,'2020-07-09 05:14:02', 81.534356674, 722.797, 'M4.9 138 km ENE of Kuril'sk, Russia','https://earthquake.usgs.gov/earthquakes/eventpage/us7000akjy/executive']</v>
      </c>
    </row>
    <row r="16" spans="1:12" x14ac:dyDescent="0.25">
      <c r="A16" s="1">
        <v>4.9000000000000004</v>
      </c>
      <c r="B16" s="1" t="s">
        <v>44</v>
      </c>
      <c r="C16" s="1">
        <v>-17.165900000000001</v>
      </c>
      <c r="D16" s="1">
        <v>-174.2141</v>
      </c>
      <c r="E16" s="5">
        <v>132.62</v>
      </c>
      <c r="F16" s="4">
        <v>44022.716680810183</v>
      </c>
      <c r="G16" s="1">
        <v>16207.4720827208</v>
      </c>
      <c r="H16" s="1">
        <v>145.773135629</v>
      </c>
      <c r="I16" s="1">
        <v>1012.878</v>
      </c>
      <c r="J16" s="1" t="s">
        <v>45</v>
      </c>
      <c r="K16" s="1" t="str">
        <f t="shared" si="0"/>
        <v>['4.9 141 km SSW of Hihifo, Tonga',-17.1659,-174.2141],</v>
      </c>
      <c r="L16" s="1" t="str">
        <f t="shared" si="1"/>
        <v>[-17.1659, -174.2141,132.62,'2020-07-10 17:12:01', 145.773135629, 1012.878, 'M4.9 141 km SSW of Hihifo, Tonga','https://earthquake.usgs.gov/earthquakes/eventpage/us7000alja/executive']</v>
      </c>
    </row>
    <row r="17" spans="1:12" x14ac:dyDescent="0.25">
      <c r="A17" s="1">
        <v>4.9000000000000004</v>
      </c>
      <c r="B17" s="1" t="s">
        <v>42</v>
      </c>
      <c r="C17" s="1">
        <v>41.022399999999998</v>
      </c>
      <c r="D17" s="1">
        <v>143.07919999999999</v>
      </c>
      <c r="E17" s="5">
        <v>41.08</v>
      </c>
      <c r="F17" s="4">
        <v>44024.397524537038</v>
      </c>
      <c r="G17" s="1">
        <v>9431.9202618468607</v>
      </c>
      <c r="H17" s="1">
        <v>84.596676077699996</v>
      </c>
      <c r="I17" s="1">
        <v>748.99800000000005</v>
      </c>
      <c r="J17" s="1" t="s">
        <v>43</v>
      </c>
      <c r="K17" s="1" t="str">
        <f t="shared" si="0"/>
        <v>['4.9 Hokkaido, Japan region',41.0224,143.0792],</v>
      </c>
      <c r="L17" s="1" t="str">
        <f t="shared" si="1"/>
        <v>[41.0224, 143.0792,41.08,'2020-07-12 09:32:26', 84.5966760777, 748.998, 'M4.9 Hokkaido, Japan region','https://earthquake.usgs.gov/earthquakes/eventpage/us7000am8y/executive']</v>
      </c>
    </row>
    <row r="18" spans="1:12" x14ac:dyDescent="0.25">
      <c r="A18" s="1">
        <v>4.5999999999999996</v>
      </c>
      <c r="B18" s="1" t="s">
        <v>40</v>
      </c>
      <c r="C18" s="1">
        <v>-16.5685</v>
      </c>
      <c r="D18" s="1">
        <v>-177.34110000000001</v>
      </c>
      <c r="E18" s="5">
        <v>10</v>
      </c>
      <c r="F18" s="4">
        <v>44024.835118599534</v>
      </c>
      <c r="G18" s="1">
        <v>16204.054654351399</v>
      </c>
      <c r="H18" s="1">
        <v>145.74216400500001</v>
      </c>
      <c r="I18" s="1">
        <v>1028.115</v>
      </c>
      <c r="J18" s="1" t="s">
        <v>41</v>
      </c>
      <c r="K18" s="1" t="str">
        <f t="shared" si="0"/>
        <v>['4.6 263 km SSE of Alo, Wallis and Futuna',-16.5685,-177.3411],</v>
      </c>
      <c r="L18" s="1" t="str">
        <f t="shared" si="1"/>
        <v>[-16.5685, -177.3411,10,'2020-07-12 20:02:34', 145.742164005, 1028.115, 'M4.6 263 km SSE of Alo, Wallis and Futuna','https://earthquake.usgs.gov/earthquakes/eventpage/us7000amf2/executive']</v>
      </c>
    </row>
    <row r="19" spans="1:12" s="1" customFormat="1" x14ac:dyDescent="0.25">
      <c r="A19" s="1">
        <v>5.4</v>
      </c>
      <c r="B19" s="1" t="s">
        <v>38</v>
      </c>
      <c r="C19" s="1">
        <v>11.9976</v>
      </c>
      <c r="D19" s="1">
        <v>-86.367800000000003</v>
      </c>
      <c r="E19" s="5">
        <v>158.76</v>
      </c>
      <c r="F19" s="4">
        <v>44024.943563472225</v>
      </c>
      <c r="G19" s="1">
        <v>8366.7579530357198</v>
      </c>
      <c r="H19" s="1">
        <v>75.187318453800003</v>
      </c>
      <c r="I19" s="1">
        <v>684.95299999999997</v>
      </c>
      <c r="J19" s="1" t="s">
        <v>39</v>
      </c>
      <c r="K19" s="1" t="str">
        <f t="shared" si="0"/>
        <v>['5.4 6 km W of El Crucero, Nicaragua',11.9976,-86.3678],</v>
      </c>
      <c r="L19" s="1" t="str">
        <f t="shared" si="1"/>
        <v>[11.9976, -86.3678,158.76,'2020-07-12 22:38:44', 75.1873184538, 684.953, 'M5.4 6 km W of El Crucero, Nicaragua','https://earthquake.usgs.gov/earthquakes/eventpage/us7000amh4/executive']</v>
      </c>
    </row>
    <row r="20" spans="1:12" x14ac:dyDescent="0.25">
      <c r="A20" s="1">
        <v>5</v>
      </c>
      <c r="B20" s="1" t="s">
        <v>36</v>
      </c>
      <c r="C20" s="1">
        <v>41.215400000000002</v>
      </c>
      <c r="D20" s="1">
        <v>142.61109999999999</v>
      </c>
      <c r="E20" s="5">
        <v>46.16</v>
      </c>
      <c r="F20" s="4">
        <v>44025.071407268515</v>
      </c>
      <c r="G20" s="1">
        <v>9398.3925667935491</v>
      </c>
      <c r="H20" s="1">
        <v>84.295199897000003</v>
      </c>
      <c r="I20" s="1">
        <v>746.88800000000003</v>
      </c>
      <c r="J20" s="1" t="s">
        <v>37</v>
      </c>
      <c r="K20" s="1" t="str">
        <f t="shared" si="0"/>
        <v>['5 117 km E of Mutsu, Japan',41.2154,142.6111],</v>
      </c>
      <c r="L20" s="1" t="str">
        <f t="shared" si="1"/>
        <v>[41.2154, 142.6111,46.16,'2020-07-13 01:42:50', 84.295199897, 746.888, 'M5 117 km E of Mutsu, Japan','https://earthquake.usgs.gov/earthquakes/eventpage/us7000amj1/executive']</v>
      </c>
    </row>
    <row r="21" spans="1:12" s="1" customFormat="1" x14ac:dyDescent="0.25">
      <c r="A21" s="1">
        <v>5.0999999999999996</v>
      </c>
      <c r="B21" s="1" t="s">
        <v>34</v>
      </c>
      <c r="C21" s="1">
        <v>-17.2821</v>
      </c>
      <c r="D21" s="1">
        <v>167.8058</v>
      </c>
      <c r="E21" s="5">
        <v>10</v>
      </c>
      <c r="F21" s="4">
        <v>44025.926958252312</v>
      </c>
      <c r="G21" s="1">
        <v>16295.192366887401</v>
      </c>
      <c r="H21" s="1">
        <v>146.565575752</v>
      </c>
      <c r="I21" s="1">
        <v>1031.77</v>
      </c>
      <c r="J21" s="1" t="s">
        <v>35</v>
      </c>
      <c r="K21" s="1" t="str">
        <f t="shared" si="0"/>
        <v>['5.1 73 km NW of Port-Vila, Vanuatu',-17.2821,167.8058],</v>
      </c>
      <c r="L21" s="1" t="str">
        <f t="shared" si="1"/>
        <v>[-17.2821, 167.8058,10,'2020-07-13 22:14:49', 146.565575752, 1031.77, 'M5.1 73 km NW of Port-Vila, Vanuatu','https://earthquake.usgs.gov/earthquakes/eventpage/us7000an1a/executive']</v>
      </c>
    </row>
    <row r="22" spans="1:12" x14ac:dyDescent="0.25">
      <c r="A22" s="1">
        <v>4.9000000000000004</v>
      </c>
      <c r="B22" s="1" t="s">
        <v>56</v>
      </c>
      <c r="C22" s="1">
        <v>-26.573399999999999</v>
      </c>
      <c r="D22" s="1">
        <v>178.3776</v>
      </c>
      <c r="E22" s="5">
        <v>608.89</v>
      </c>
      <c r="F22" s="4">
        <v>44027.160892048611</v>
      </c>
      <c r="G22" s="1">
        <v>17359.600677320399</v>
      </c>
      <c r="H22" s="1">
        <v>156.177844171</v>
      </c>
      <c r="I22" s="1">
        <v>1125.1489999999999</v>
      </c>
      <c r="J22" s="1" t="s">
        <v>33</v>
      </c>
      <c r="K22" s="1" t="str">
        <f t="shared" si="0"/>
        <v>['4.9 South of the Fiji Islands',-26.5734,178.3776],</v>
      </c>
      <c r="L22" s="1" t="str">
        <f t="shared" si="1"/>
        <v>[-26.5734, 178.3776,608.89,'2020-07-15 03:51:41', 156.177844171, 1125.149, 'M4.9 South of the Fiji Islands','https://earthquake.usgs.gov/earthquakes/eventpage/us7000anrx/executive']</v>
      </c>
    </row>
    <row r="23" spans="1:12" s="1" customFormat="1" x14ac:dyDescent="0.25">
      <c r="A23" s="1">
        <v>5.8</v>
      </c>
      <c r="B23" s="1" t="s">
        <v>60</v>
      </c>
      <c r="C23" s="1">
        <v>7.4707999999999997</v>
      </c>
      <c r="D23" s="1">
        <v>-81.921999999999997</v>
      </c>
      <c r="E23" s="5">
        <v>5.66</v>
      </c>
      <c r="F23" s="4">
        <v>44027.902553761574</v>
      </c>
      <c r="G23" s="1">
        <v>8430.6337305123398</v>
      </c>
      <c r="H23" s="1">
        <v>75.793974682799998</v>
      </c>
      <c r="I23" s="1">
        <v>706.87699999999995</v>
      </c>
      <c r="J23" s="1" t="s">
        <v>32</v>
      </c>
      <c r="K23" s="1" t="str">
        <f t="shared" si="0"/>
        <v>['5.8 70 km WSW of Rio Grande, Panama',7.4708,-81.922],</v>
      </c>
      <c r="L23" s="1" t="str">
        <f t="shared" si="1"/>
        <v>[7.4708, -81.922,5.66,'2020-07-15 21:39:41', 75.7939746828, 706.877, 'M5.8 70 km WSW of Rio Grande, Panama','https://earthquake.usgs.gov/earthquakes/eventpage/us7000apd0/executive']</v>
      </c>
    </row>
    <row r="24" spans="1:12" s="1" customFormat="1" x14ac:dyDescent="0.25">
      <c r="A24" s="1">
        <v>7</v>
      </c>
      <c r="B24" s="1" t="s">
        <v>30</v>
      </c>
      <c r="C24" s="1">
        <v>-7.8428000000000004</v>
      </c>
      <c r="D24" s="1">
        <v>147.76560000000001</v>
      </c>
      <c r="E24" s="5">
        <v>79.790000000000006</v>
      </c>
      <c r="F24" s="4">
        <v>44029.118321956019</v>
      </c>
      <c r="G24" s="1">
        <v>14682.276696454201</v>
      </c>
      <c r="H24" s="1">
        <v>132.004133021</v>
      </c>
      <c r="I24" s="1">
        <v>957.95899999999995</v>
      </c>
      <c r="J24" s="1" t="s">
        <v>31</v>
      </c>
      <c r="K24" s="1" t="str">
        <f t="shared" si="0"/>
        <v>['7 114 km NNW of Popondetta, Papua New Guinea',-7.8428,147.7656],</v>
      </c>
      <c r="L24" s="1" t="str">
        <f t="shared" si="1"/>
        <v>[-7.8428, 147.7656,79.79,'2020-07-17 02:50:23', 132.004133021, 957.959, 'M7 114 km NNW of Popondetta, Papua New Guinea','https://earthquake.usgs.gov/earthquakes/eventpage/us7000aq3e/executive']</v>
      </c>
    </row>
    <row r="25" spans="1:12" s="1" customFormat="1" x14ac:dyDescent="0.25">
      <c r="A25" s="1">
        <v>5.9</v>
      </c>
      <c r="B25" s="1" t="s">
        <v>28</v>
      </c>
      <c r="C25" s="1">
        <v>-20.235299999999999</v>
      </c>
      <c r="D25" s="1">
        <v>-70.139899999999997</v>
      </c>
      <c r="E25" s="5">
        <v>73.819999999999993</v>
      </c>
      <c r="F25" s="4">
        <v>44029.236531504626</v>
      </c>
      <c r="G25" s="1">
        <v>10065.7290065901</v>
      </c>
      <c r="H25" s="1">
        <v>90.679408784499998</v>
      </c>
      <c r="I25" s="1">
        <v>774.37699999999995</v>
      </c>
      <c r="J25" s="1" t="s">
        <v>29</v>
      </c>
      <c r="K25" s="1" t="str">
        <f t="shared" si="0"/>
        <v>['5.9 2 km SSE of Iquique, Chile',-20.2353,-70.1399],</v>
      </c>
      <c r="L25" s="1" t="str">
        <f t="shared" si="1"/>
        <v>[-20.2353, -70.1399,73.82,'2020-07-17 05:40:36', 90.6794087845, 774.377, 'M5.9 2 km SSE of Iquique, Chile','https://earthquake.usgs.gov/earthquakes/eventpage/us7000aq5p/executive']</v>
      </c>
    </row>
    <row r="26" spans="1:12" x14ac:dyDescent="0.25">
      <c r="A26" s="1">
        <v>5</v>
      </c>
      <c r="B26" s="1" t="s">
        <v>57</v>
      </c>
      <c r="C26" s="1">
        <v>44.839199999999998</v>
      </c>
      <c r="D26" s="1">
        <v>147.5213</v>
      </c>
      <c r="E26" s="5">
        <v>133.86000000000001</v>
      </c>
      <c r="F26" s="4">
        <v>44029.257488842595</v>
      </c>
      <c r="G26" s="1">
        <v>9144.8528094685207</v>
      </c>
      <c r="H26" s="1">
        <v>82.0094860337</v>
      </c>
      <c r="I26" s="1">
        <v>725.05600000000004</v>
      </c>
      <c r="J26" s="1" t="s">
        <v>27</v>
      </c>
      <c r="K26" s="1" t="str">
        <f t="shared" si="0"/>
        <v>['5 51 km SSW of Kuril'sk, Russia',44.8392,147.5213],</v>
      </c>
      <c r="L26" s="1" t="str">
        <f t="shared" si="1"/>
        <v>[44.8392, 147.5213,133.86,'2020-07-17 06:10:47', 82.0094860337, 725.056, 'M5 51 km SSW of Kuril'sk, Russia','https://earthquake.usgs.gov/earthquakes/eventpage/us7000aq5u/executive']</v>
      </c>
    </row>
    <row r="27" spans="1:12" s="1" customFormat="1" x14ac:dyDescent="0.25">
      <c r="A27" s="1">
        <v>5.7</v>
      </c>
      <c r="B27" s="1" t="s">
        <v>25</v>
      </c>
      <c r="C27" s="1">
        <v>12.1027</v>
      </c>
      <c r="D27" s="1">
        <v>94.964699999999993</v>
      </c>
      <c r="E27" s="5">
        <v>13.82</v>
      </c>
      <c r="F27" s="4">
        <v>44029.772916956019</v>
      </c>
      <c r="G27" s="1">
        <v>9692.5916953993201</v>
      </c>
      <c r="H27" s="1">
        <v>87.076777499100004</v>
      </c>
      <c r="I27" s="1">
        <v>765.19899999999996</v>
      </c>
      <c r="J27" s="1" t="s">
        <v>26</v>
      </c>
      <c r="K27" s="1" t="str">
        <f t="shared" si="0"/>
        <v>['5.7 246 km E of Port Blair, India',12.1027,94.9647],</v>
      </c>
      <c r="L27" s="1" t="str">
        <f t="shared" si="1"/>
        <v>[12.1027, 94.9647,13.82,'2020-07-17 18:33:00', 87.0767774991, 765.199, 'M5.7 246 km E of Port Blair, India','https://earthquake.usgs.gov/earthquakes/eventpage/us7000aqj0/executive']</v>
      </c>
    </row>
    <row r="28" spans="1:12" s="1" customFormat="1" x14ac:dyDescent="0.25">
      <c r="A28" s="1">
        <v>6</v>
      </c>
      <c r="B28" s="1" t="s">
        <v>61</v>
      </c>
      <c r="C28" s="1">
        <v>-20.831900000000001</v>
      </c>
      <c r="D28" s="1">
        <v>-178.57230000000001</v>
      </c>
      <c r="E28" s="5">
        <v>602.12</v>
      </c>
      <c r="F28" s="4">
        <v>44033.872506678243</v>
      </c>
      <c r="G28" s="1">
        <v>16690.1328044697</v>
      </c>
      <c r="H28" s="1">
        <v>150.13300273300001</v>
      </c>
      <c r="I28" s="1">
        <v>983.80799999999999</v>
      </c>
      <c r="J28" s="1" t="s">
        <v>62</v>
      </c>
      <c r="K28" s="1" t="str">
        <f t="shared" si="0"/>
        <v>['6 Fiji region',-20.8319,-178.5723],</v>
      </c>
      <c r="L28" s="1" t="str">
        <f t="shared" si="1"/>
        <v>[-20.8319, -178.5723,602.12,'2020-07-21 20:56:25', 150.133002733, 983.808, 'M6 Fiji region','https://earthquake.usgs.gov/earthquakes/eventpage/us7000asms/executive']</v>
      </c>
    </row>
    <row r="29" spans="1:12" s="1" customFormat="1" x14ac:dyDescent="0.25">
      <c r="A29" s="1">
        <v>5.0999999999999996</v>
      </c>
      <c r="B29" s="1" t="s">
        <v>77</v>
      </c>
      <c r="C29" s="1">
        <v>11.045999999999999</v>
      </c>
      <c r="D29" s="1">
        <v>-72.397199999999998</v>
      </c>
      <c r="E29" s="5">
        <v>89.3</v>
      </c>
      <c r="F29" s="4">
        <v>44034.13652068287</v>
      </c>
      <c r="G29" s="1">
        <v>7454.9281114038804</v>
      </c>
      <c r="H29" s="1">
        <v>67.021088768300004</v>
      </c>
      <c r="I29" s="1">
        <v>643.399</v>
      </c>
      <c r="J29" s="1" t="s">
        <v>78</v>
      </c>
      <c r="K29" s="1" t="str">
        <f t="shared" si="0"/>
        <v>['5.1 24 km ESE of Albania, Colombia',11.046,-72.3972],</v>
      </c>
      <c r="L29" s="1" t="str">
        <f t="shared" si="1"/>
        <v>[11.046, -72.3972,89.3,'2020-07-22 03:16:35', 67.0210887683, 643.399, 'M5.1 24 km ESE of Albania, Colombia','https://earthquake.usgs.gov/earthquakes/eventpage/us7000assn/executive']</v>
      </c>
    </row>
    <row r="30" spans="1:12" s="1" customFormat="1" x14ac:dyDescent="0.25">
      <c r="A30" s="1">
        <v>7.8</v>
      </c>
      <c r="B30" s="1" t="s">
        <v>75</v>
      </c>
      <c r="C30" s="1">
        <v>55.029800000000002</v>
      </c>
      <c r="D30" s="1">
        <v>-158.52170000000001</v>
      </c>
      <c r="E30" s="5">
        <v>28</v>
      </c>
      <c r="F30" s="4">
        <v>44034.258849456019</v>
      </c>
      <c r="G30" s="1">
        <v>8076.3701328179504</v>
      </c>
      <c r="H30" s="1">
        <v>72.403352270900001</v>
      </c>
      <c r="I30" s="1">
        <v>683.553</v>
      </c>
      <c r="J30" s="1" t="s">
        <v>76</v>
      </c>
      <c r="K30" s="1" t="str">
        <f t="shared" si="0"/>
        <v>['7.8 105 km SSE of Perryville, Alaska',55.0298,-158.5217],</v>
      </c>
      <c r="L30" s="1" t="str">
        <f t="shared" si="1"/>
        <v>[55.0298, -158.5217,28,'2020-07-22 06:12:45', 72.4033522709, 683.553, 'M7.8 105 km SSE of Perryville, Alaska','https://earthquake.usgs.gov/earthquakes/eventpage/us7000asvb/executive']</v>
      </c>
    </row>
    <row r="31" spans="1:12" s="1" customFormat="1" x14ac:dyDescent="0.25">
      <c r="A31" s="1">
        <v>6.1</v>
      </c>
      <c r="B31" s="1" t="s">
        <v>73</v>
      </c>
      <c r="C31" s="1">
        <v>54.932200000000002</v>
      </c>
      <c r="D31" s="1">
        <v>-159.04230000000001</v>
      </c>
      <c r="E31" s="5">
        <v>17.670000000000002</v>
      </c>
      <c r="F31" s="4">
        <v>44034.261327048611</v>
      </c>
      <c r="G31" s="1">
        <v>8096.6757012444295</v>
      </c>
      <c r="H31" s="1">
        <v>72.585596394800007</v>
      </c>
      <c r="I31" s="1">
        <v>686.17399999999998</v>
      </c>
      <c r="J31" s="1" t="s">
        <v>74</v>
      </c>
      <c r="K31" s="1" t="str">
        <f t="shared" si="0"/>
        <v>['6.1 103 km ESE of Sand Point, Alaska',54.9322,-159.0423],</v>
      </c>
      <c r="L31" s="1" t="str">
        <f t="shared" si="1"/>
        <v>[54.9322, -159.0423,17.67,'2020-07-22 06:16:19', 72.5855963948, 686.174, 'M6.1 103 km ESE of Sand Point, Alaska','https://earthquake.usgs.gov/earthquakes/eventpage/us7000asx4/executive']</v>
      </c>
    </row>
    <row r="32" spans="1:12" s="1" customFormat="1" x14ac:dyDescent="0.25">
      <c r="A32" s="1">
        <v>5.7</v>
      </c>
      <c r="B32" s="1" t="s">
        <v>71</v>
      </c>
      <c r="C32" s="1">
        <v>54.713200000000001</v>
      </c>
      <c r="D32" s="1">
        <v>-158.9076</v>
      </c>
      <c r="E32" s="5">
        <v>26.21</v>
      </c>
      <c r="F32" s="4">
        <v>44034.263981469907</v>
      </c>
      <c r="G32" s="1">
        <v>8117.4040113537603</v>
      </c>
      <c r="H32" s="1">
        <v>72.771830620900005</v>
      </c>
      <c r="I32" s="1">
        <v>686.005</v>
      </c>
      <c r="J32" s="1" t="s">
        <v>72</v>
      </c>
      <c r="K32" s="1" t="str">
        <f t="shared" si="0"/>
        <v>['5.7 123 km SE of Sand Point, Alaska',54.7132,-158.9076],</v>
      </c>
      <c r="L32" s="1" t="str">
        <f t="shared" si="1"/>
        <v>[54.7132, -158.9076,26.21,'2020-07-22 06:20:08', 72.7718306209, 686.005, 'M5.7 123 km SE of Sand Point, Alaska','https://earthquake.usgs.gov/earthquakes/eventpage/us7000aswr/executive']</v>
      </c>
    </row>
    <row r="33" spans="1:12" s="1" customFormat="1" x14ac:dyDescent="0.25">
      <c r="A33" s="1">
        <v>5.0999999999999996</v>
      </c>
      <c r="B33" s="1" t="s">
        <v>69</v>
      </c>
      <c r="C33" s="1">
        <v>-15.396800000000001</v>
      </c>
      <c r="D33" s="1">
        <v>166.31290000000001</v>
      </c>
      <c r="E33" s="5">
        <v>47.86</v>
      </c>
      <c r="F33" s="4">
        <v>44034.312995775465</v>
      </c>
      <c r="G33" s="1">
        <v>16064.7956090671</v>
      </c>
      <c r="H33" s="1">
        <v>144.48392733399999</v>
      </c>
      <c r="I33" s="1">
        <v>1017.111</v>
      </c>
      <c r="J33" s="1" t="s">
        <v>70</v>
      </c>
      <c r="K33" s="1" t="str">
        <f t="shared" si="0"/>
        <v>['5.1 90 km WSW of Port-Olry, Vanuatu',-15.3968,166.3129],</v>
      </c>
      <c r="L33" s="1" t="str">
        <f t="shared" si="1"/>
        <v>[-15.3968, 166.3129,47.86,'2020-07-22 07:30:43', 144.483927334, 1017.111, 'M5.1 90 km WSW of Port-Olry, Vanuatu','https://earthquake.usgs.gov/earthquakes/eventpage/us7000asxc/executive']</v>
      </c>
    </row>
    <row r="34" spans="1:12" s="1" customFormat="1" x14ac:dyDescent="0.25">
      <c r="A34" s="1">
        <v>5.8</v>
      </c>
      <c r="B34" s="1" t="s">
        <v>67</v>
      </c>
      <c r="C34" s="1">
        <v>55.223300000000002</v>
      </c>
      <c r="D34" s="1">
        <v>-159.37190000000001</v>
      </c>
      <c r="E34" s="5">
        <v>36.71</v>
      </c>
      <c r="F34" s="4">
        <v>44034.342702511574</v>
      </c>
      <c r="G34" s="1">
        <v>8071.87860163811</v>
      </c>
      <c r="H34" s="1">
        <v>72.362769629300004</v>
      </c>
      <c r="I34" s="1">
        <v>682.11099999999999</v>
      </c>
      <c r="J34" s="1" t="s">
        <v>68</v>
      </c>
      <c r="K34" s="1" t="str">
        <f t="shared" ref="K34:K63" si="2">"['" &amp; A34 &amp; " " &amp; B34 &amp; "'," &amp; C34 &amp; "," &amp; D34 &amp; "],"</f>
        <v>['5.8 72 km E of Sand Point, Alaska',55.2233,-159.3719],</v>
      </c>
      <c r="L34" s="1" t="str">
        <f t="shared" ref="L34:L63" si="3">"[" &amp; C34 &amp; ", " &amp; D34 &amp; "," &amp; E34 &amp; ",'" &amp; TEXT(F34,"yyyy-mm-dd hh:mm:ss") &amp; "', " &amp; H34 &amp; ", " &amp; I34 &amp; ", 'M" &amp; A34 &amp; " " &amp; B34 &amp; "','" &amp; J34 &amp; "']"</f>
        <v>[55.2233, -159.3719,36.71,'2020-07-22 08:13:29', 72.3627696293, 682.111, 'M5.8 72 km E of Sand Point, Alaska','https://earthquake.usgs.gov/earthquakes/eventpage/us7000asy0/executive']</v>
      </c>
    </row>
    <row r="35" spans="1:12" s="1" customFormat="1" x14ac:dyDescent="0.25">
      <c r="A35" s="1">
        <v>4.7</v>
      </c>
      <c r="B35" s="1" t="s">
        <v>65</v>
      </c>
      <c r="C35" s="1">
        <v>55.065899999999999</v>
      </c>
      <c r="D35" s="1">
        <v>-158.69120000000001</v>
      </c>
      <c r="E35" s="5">
        <v>34.799999999999997</v>
      </c>
      <c r="F35" s="4">
        <v>44034.422671666667</v>
      </c>
      <c r="G35" s="1">
        <v>8075.78718305246</v>
      </c>
      <c r="H35" s="1">
        <v>72.398067491800006</v>
      </c>
      <c r="I35" s="1">
        <v>682.54200000000003</v>
      </c>
      <c r="J35" s="1" t="s">
        <v>66</v>
      </c>
      <c r="K35" s="1" t="str">
        <f t="shared" si="2"/>
        <v>['4.7 98 km SSE of Perryville, Alaska',55.0659,-158.6912],</v>
      </c>
      <c r="L35" s="1" t="str">
        <f t="shared" si="3"/>
        <v>[55.0659, -158.6912,34.8,'2020-07-22 10:08:39', 72.3980674918, 682.542, 'M4.7 98 km SSE of Perryville, Alaska','https://earthquake.usgs.gov/earthquakes/eventpage/ak0209djmxho/executive']</v>
      </c>
    </row>
    <row r="36" spans="1:12" s="1" customFormat="1" x14ac:dyDescent="0.25">
      <c r="A36" s="1">
        <v>5.0999999999999996</v>
      </c>
      <c r="B36" s="1" t="s">
        <v>63</v>
      </c>
      <c r="C36" s="1">
        <v>54.7104</v>
      </c>
      <c r="D36" s="1">
        <v>-160.5043</v>
      </c>
      <c r="E36" s="5">
        <v>35.46</v>
      </c>
      <c r="F36" s="4">
        <v>44034.459869999999</v>
      </c>
      <c r="G36" s="1">
        <v>8147.3072917544396</v>
      </c>
      <c r="H36" s="1">
        <v>73.039995302099996</v>
      </c>
      <c r="I36" s="1">
        <v>686.27499999999998</v>
      </c>
      <c r="J36" s="1" t="s">
        <v>64</v>
      </c>
      <c r="K36" s="1" t="str">
        <f t="shared" si="2"/>
        <v>['5.1 69 km S of Sand Point, Alaska',54.7104,-160.5043],</v>
      </c>
      <c r="L36" s="1" t="str">
        <f t="shared" si="3"/>
        <v>[54.7104, -160.5043,35.46,'2020-07-22 11:02:13', 73.0399953021, 686.275, 'M5.1 69 km S of Sand Point, Alaska','https://earthquake.usgs.gov/earthquakes/eventpage/us7000at0f/executive']</v>
      </c>
    </row>
    <row r="37" spans="1:12" s="1" customFormat="1" x14ac:dyDescent="0.25">
      <c r="A37" s="1">
        <v>6.3</v>
      </c>
      <c r="B37" s="1" t="s">
        <v>81</v>
      </c>
      <c r="C37" s="1">
        <v>33.131300000000003</v>
      </c>
      <c r="D37" s="1">
        <v>86.839699999999993</v>
      </c>
      <c r="E37" s="5">
        <v>10</v>
      </c>
      <c r="F37" s="4">
        <v>44034.838420601853</v>
      </c>
      <c r="G37" s="1">
        <v>7394.1152384951101</v>
      </c>
      <c r="H37" s="1">
        <v>66.343617057599999</v>
      </c>
      <c r="I37" s="1">
        <v>648.81799999999998</v>
      </c>
      <c r="J37" s="1" t="s">
        <v>82</v>
      </c>
      <c r="K37" s="1" t="str">
        <f t="shared" si="2"/>
        <v>['6.3 western Xizang',33.1313,86.8397],</v>
      </c>
      <c r="L37" s="1" t="str">
        <f t="shared" si="3"/>
        <v>[33.1313, 86.8397,10,'2020-07-22 20:07:20', 66.3436170576, 648.818, 'M6.3 western Xizang','https://earthquake.usgs.gov/earthquakes/eventpage/us6000b26j/executive']</v>
      </c>
    </row>
    <row r="38" spans="1:12" s="1" customFormat="1" x14ac:dyDescent="0.25">
      <c r="A38" s="1">
        <v>5.5</v>
      </c>
      <c r="B38" s="1" t="s">
        <v>79</v>
      </c>
      <c r="C38" s="1">
        <v>55.219099999999997</v>
      </c>
      <c r="D38" s="1">
        <v>-159.2945</v>
      </c>
      <c r="E38" s="5">
        <v>34.56</v>
      </c>
      <c r="F38" s="4">
        <v>44034.902764467595</v>
      </c>
      <c r="G38" s="1">
        <v>8070.8850214919803</v>
      </c>
      <c r="H38" s="1">
        <v>72.353866461999999</v>
      </c>
      <c r="I38" s="1">
        <v>682.31200000000001</v>
      </c>
      <c r="J38" s="1" t="s">
        <v>80</v>
      </c>
      <c r="K38" s="1" t="str">
        <f t="shared" si="2"/>
        <v>['5.5 76 km S of Ivanof Bay, Alaska',55.2191,-159.2945],</v>
      </c>
      <c r="L38" s="1" t="str">
        <f t="shared" si="3"/>
        <v>[55.2191, -159.2945,34.56,'2020-07-22 21:39:59', 72.353866462, 682.312, 'M5.5 76 km S of Ivanof Bay, Alaska','https://earthquake.usgs.gov/earthquakes/eventpage/us6000b29h/executive']</v>
      </c>
    </row>
    <row r="39" spans="1:12" s="1" customFormat="1" x14ac:dyDescent="0.25">
      <c r="A39" s="1">
        <v>5.0999999999999996</v>
      </c>
      <c r="B39" s="1" t="s">
        <v>81</v>
      </c>
      <c r="C39" s="1">
        <v>33.146599999999999</v>
      </c>
      <c r="D39" s="1">
        <v>86.797700000000006</v>
      </c>
      <c r="E39" s="5">
        <v>10</v>
      </c>
      <c r="F39" s="4">
        <v>44035.451497268521</v>
      </c>
      <c r="G39" s="1">
        <v>7390.16401354543</v>
      </c>
      <c r="H39" s="1">
        <v>66.308114322400002</v>
      </c>
      <c r="I39" s="1">
        <v>648.59100000000001</v>
      </c>
      <c r="J39" s="1" t="s">
        <v>87</v>
      </c>
      <c r="K39" s="1" t="str">
        <f t="shared" si="2"/>
        <v>['5.1 western Xizang',33.1466,86.7977],</v>
      </c>
      <c r="L39" s="1" t="str">
        <f t="shared" si="3"/>
        <v>[33.1466, 86.7977,10,'2020-07-23 10:50:09', 66.3081143224, 648.591, 'M5.1 western Xizang','https://earthquake.usgs.gov/earthquakes/eventpage/us6000b2l7/executive']</v>
      </c>
    </row>
    <row r="40" spans="1:12" s="1" customFormat="1" x14ac:dyDescent="0.25">
      <c r="A40" s="1">
        <v>4.9000000000000004</v>
      </c>
      <c r="B40" s="1" t="s">
        <v>85</v>
      </c>
      <c r="C40" s="1">
        <v>55.230899999999998</v>
      </c>
      <c r="D40" s="1">
        <v>-159.63409999999999</v>
      </c>
      <c r="E40" s="5">
        <v>39.54</v>
      </c>
      <c r="F40" s="4">
        <v>44035.464331354167</v>
      </c>
      <c r="G40" s="1">
        <v>8075.9183747229699</v>
      </c>
      <c r="H40" s="1">
        <v>72.398983691799998</v>
      </c>
      <c r="I40" s="1">
        <v>682.00900000000001</v>
      </c>
      <c r="J40" s="1" t="s">
        <v>86</v>
      </c>
      <c r="K40" s="1" t="str">
        <f t="shared" si="2"/>
        <v>['4.9 56 km ESE of Sand Point, Alaska',55.2309,-159.6341],</v>
      </c>
      <c r="L40" s="1" t="str">
        <f t="shared" si="3"/>
        <v>[55.2309, -159.6341,39.54,'2020-07-23 11:08:38', 72.3989836918, 682.009, 'M4.9 56 km ESE of Sand Point, Alaska','https://earthquake.usgs.gov/earthquakes/eventpage/us6000b2le/executive']</v>
      </c>
    </row>
    <row r="41" spans="1:12" s="1" customFormat="1" x14ac:dyDescent="0.25">
      <c r="A41" s="1">
        <v>5</v>
      </c>
      <c r="B41" s="1" t="s">
        <v>83</v>
      </c>
      <c r="C41" s="1">
        <v>54.838299999999997</v>
      </c>
      <c r="D41" s="1">
        <v>-160.69049999999999</v>
      </c>
      <c r="E41" s="5">
        <v>38.92</v>
      </c>
      <c r="F41" s="4">
        <v>44036.129957303237</v>
      </c>
      <c r="G41" s="1">
        <v>8136.9639097868803</v>
      </c>
      <c r="H41" s="1">
        <v>72.9470323157</v>
      </c>
      <c r="I41" s="1">
        <v>685.33600000000001</v>
      </c>
      <c r="J41" s="1" t="s">
        <v>84</v>
      </c>
      <c r="K41" s="1" t="str">
        <f t="shared" si="2"/>
        <v>['5 56 km SSW of Sand Point, Alaska',54.8383,-160.6905],</v>
      </c>
      <c r="L41" s="1" t="str">
        <f t="shared" si="3"/>
        <v>[54.8383, -160.6905,38.92,'2020-07-24 03:07:08', 72.9470323157, 685.336, 'M5 56 km SSW of Sand Point, Alaska','https://earthquake.usgs.gov/earthquakes/eventpage/us6000b355/executive']</v>
      </c>
    </row>
    <row r="42" spans="1:12" s="1" customFormat="1" x14ac:dyDescent="0.25">
      <c r="A42" s="1">
        <v>5</v>
      </c>
      <c r="B42" s="1" t="s">
        <v>88</v>
      </c>
      <c r="C42" s="1">
        <v>54.933300000000003</v>
      </c>
      <c r="D42" s="1">
        <v>-160.739</v>
      </c>
      <c r="E42" s="5">
        <v>43.02</v>
      </c>
      <c r="F42" s="4">
        <v>44036.558788530092</v>
      </c>
      <c r="G42" s="1">
        <v>8127.6644193111297</v>
      </c>
      <c r="H42" s="1">
        <v>72.863485533100004</v>
      </c>
      <c r="I42" s="1">
        <v>684.38099999999997</v>
      </c>
      <c r="J42" s="1" t="s">
        <v>89</v>
      </c>
      <c r="K42" s="1" t="str">
        <f t="shared" si="2"/>
        <v>['5 47 km SSW of Sand Point, Alaska',54.9333,-160.739],</v>
      </c>
      <c r="L42" s="1" t="str">
        <f t="shared" si="3"/>
        <v>[54.9333, -160.739,43.02,'2020-07-24 13:24:39', 72.8634855331, 684.381, 'M5 47 km SSW of Sand Point, Alaska','https://earthquake.usgs.gov/earthquakes/eventpage/us6000b3e9/executive']</v>
      </c>
    </row>
    <row r="43" spans="1:12" s="1" customFormat="1" x14ac:dyDescent="0.25">
      <c r="A43" s="1">
        <v>5.4</v>
      </c>
      <c r="B43" s="1" t="s">
        <v>61</v>
      </c>
      <c r="C43" s="1">
        <v>-20.468499999999999</v>
      </c>
      <c r="D43" s="1">
        <v>-178.40610000000001</v>
      </c>
      <c r="E43" s="5">
        <v>565.95000000000005</v>
      </c>
      <c r="F43" s="4">
        <v>44037.941547256945</v>
      </c>
      <c r="G43" s="1">
        <v>16647.782399400101</v>
      </c>
      <c r="H43" s="1">
        <v>149.750504237</v>
      </c>
      <c r="I43" s="1">
        <v>985.38099999999997</v>
      </c>
      <c r="J43" s="1" t="s">
        <v>90</v>
      </c>
      <c r="K43" s="1" t="str">
        <f t="shared" si="2"/>
        <v>['5.4 Fiji region',-20.4685,-178.4061],</v>
      </c>
      <c r="L43" s="1" t="str">
        <f t="shared" si="3"/>
        <v>[-20.4685, -178.4061,565.95,'2020-07-25 22:35:50', 149.750504237, 985.381, 'M5.4 Fiji region','https://earthquake.usgs.gov/earthquakes/eventpage/us6000b45f/executive']</v>
      </c>
    </row>
    <row r="44" spans="1:12" s="1" customFormat="1" x14ac:dyDescent="0.25">
      <c r="A44" s="1">
        <v>4.9000000000000004</v>
      </c>
      <c r="B44" s="1" t="s">
        <v>91</v>
      </c>
      <c r="C44" s="1">
        <v>54.811700000000002</v>
      </c>
      <c r="D44" s="1">
        <v>-160.21619999999999</v>
      </c>
      <c r="E44" s="5">
        <v>35</v>
      </c>
      <c r="F44" s="4">
        <v>44038.899939178242</v>
      </c>
      <c r="G44" s="1">
        <v>8131.2785263328597</v>
      </c>
      <c r="H44" s="1">
        <v>72.896091353599999</v>
      </c>
      <c r="I44" s="1">
        <v>685.47400000000005</v>
      </c>
      <c r="J44" s="1" t="s">
        <v>92</v>
      </c>
      <c r="K44" s="1" t="str">
        <f t="shared" si="2"/>
        <v>['4.9 61 km SSE of Sand Point, Alaska',54.8117,-160.2162],</v>
      </c>
      <c r="L44" s="1" t="str">
        <f t="shared" si="3"/>
        <v>[54.8117, -160.2162,35,'2020-07-26 21:35:55', 72.8960913536, 685.474, 'M4.9 61 km SSE of Sand Point, Alaska','https://earthquake.usgs.gov/earthquakes/eventpage/us6000b4hr/executive']</v>
      </c>
    </row>
    <row r="45" spans="1:12" s="1" customFormat="1" x14ac:dyDescent="0.25">
      <c r="A45" s="1">
        <v>5.5</v>
      </c>
      <c r="B45" s="1" t="s">
        <v>95</v>
      </c>
      <c r="C45" s="1">
        <v>55.096499999999999</v>
      </c>
      <c r="D45" s="1">
        <v>-160.48060000000001</v>
      </c>
      <c r="E45" s="5">
        <v>44.13</v>
      </c>
      <c r="F45" s="4">
        <v>44039.815729953705</v>
      </c>
      <c r="G45" s="1">
        <v>8105.6134668842797</v>
      </c>
      <c r="H45" s="1">
        <v>72.665483310499994</v>
      </c>
      <c r="I45" s="1">
        <v>683.08199999999999</v>
      </c>
      <c r="J45" s="1" t="s">
        <v>96</v>
      </c>
      <c r="K45" s="1" t="str">
        <f t="shared" si="2"/>
        <v>['5.5 26 km S of Sand Point, Alaska',55.0965,-160.4806],</v>
      </c>
      <c r="L45" s="1" t="str">
        <f t="shared" si="3"/>
        <v>[55.0965, -160.4806,44.13,'2020-07-27 19:34:39', 72.6654833105, 683.082, 'M5.5 26 km S of Sand Point, Alaska','https://earthquake.usgs.gov/earthquakes/eventpage/us6000b4yh/executive']</v>
      </c>
    </row>
    <row r="46" spans="1:12" s="1" customFormat="1" x14ac:dyDescent="0.25">
      <c r="A46" s="1">
        <v>6.1</v>
      </c>
      <c r="B46" s="1" t="s">
        <v>93</v>
      </c>
      <c r="C46" s="1">
        <v>54.867400000000004</v>
      </c>
      <c r="D46" s="1">
        <v>-161.14359999999999</v>
      </c>
      <c r="E46" s="5">
        <v>41.26</v>
      </c>
      <c r="F46" s="4">
        <v>44040.335927546294</v>
      </c>
      <c r="G46" s="1">
        <v>8141.8452510840398</v>
      </c>
      <c r="H46" s="1">
        <v>72.990758992699995</v>
      </c>
      <c r="I46" s="1">
        <v>685.33299999999997</v>
      </c>
      <c r="J46" s="1" t="s">
        <v>94</v>
      </c>
      <c r="K46" s="1" t="str">
        <f t="shared" si="2"/>
        <v>['6.1 66 km SW of Sand Point, Alaska',54.8674,-161.1436],</v>
      </c>
      <c r="L46" s="1" t="str">
        <f t="shared" si="3"/>
        <v>[54.8674, -161.1436,41.26,'2020-07-28 08:03:44', 72.9907589927, 685.333, 'M6.1 66 km SW of Sand Point, Alaska','https://earthquake.usgs.gov/earthquakes/eventpage/us6000b56k/executive']</v>
      </c>
    </row>
    <row r="47" spans="1:12" x14ac:dyDescent="0.25">
      <c r="A47" s="1">
        <v>5</v>
      </c>
      <c r="B47" s="1" t="s">
        <v>97</v>
      </c>
      <c r="C47" s="1">
        <v>54.984099999999998</v>
      </c>
      <c r="D47" s="1">
        <v>-160.38339999999999</v>
      </c>
      <c r="E47" s="5">
        <v>40.46</v>
      </c>
      <c r="F47" s="4">
        <v>44040.52977158565</v>
      </c>
      <c r="G47" s="1">
        <v>8115.8828958168597</v>
      </c>
      <c r="H47" s="1">
        <v>72.757753219600005</v>
      </c>
      <c r="I47" s="1">
        <v>684.04100000000005</v>
      </c>
      <c r="J47" s="1" t="s">
        <v>98</v>
      </c>
      <c r="K47" s="1" t="str">
        <f t="shared" si="2"/>
        <v>['5 39 km S of Sand Point, Alaska',54.9841,-160.3834],</v>
      </c>
      <c r="L47" s="1" t="str">
        <f t="shared" si="3"/>
        <v>[54.9841, -160.3834,40.46,'2020-07-28 12:42:52', 72.7577532196, 684.041, 'M5 39 km S of Sand Point, Alaska','https://earthquake.usgs.gov/earthquakes/eventpage/us6000b5ad/executive']</v>
      </c>
    </row>
    <row r="48" spans="1:12" x14ac:dyDescent="0.25">
      <c r="A48" s="1">
        <v>4.8</v>
      </c>
      <c r="B48" s="1" t="s">
        <v>61</v>
      </c>
      <c r="C48" s="1">
        <v>-18.750499999999999</v>
      </c>
      <c r="D48" s="1">
        <v>-177.77180000000001</v>
      </c>
      <c r="E48" s="5">
        <v>541.24</v>
      </c>
      <c r="F48" s="4">
        <v>44040.799944363425</v>
      </c>
      <c r="G48" s="1">
        <v>16449.709770121499</v>
      </c>
      <c r="H48" s="1">
        <v>147.9614176</v>
      </c>
      <c r="I48" s="1">
        <v>979.70600000000002</v>
      </c>
      <c r="J48" s="1" t="s">
        <v>99</v>
      </c>
      <c r="K48" s="1" t="str">
        <f t="shared" si="2"/>
        <v>['4.8 Fiji region',-18.7505,-177.7718],</v>
      </c>
      <c r="L48" s="1" t="str">
        <f t="shared" si="3"/>
        <v>[-18.7505, -177.7718,541.24,'2020-07-28 19:11:55', 147.9614176, 979.706, 'M4.8 Fiji region','https://earthquake.usgs.gov/earthquakes/eventpage/us6000b5if/executive']</v>
      </c>
    </row>
    <row r="49" spans="1:12" x14ac:dyDescent="0.25">
      <c r="A49" s="1">
        <v>5.6</v>
      </c>
      <c r="B49" s="1" t="s">
        <v>104</v>
      </c>
      <c r="C49" s="1">
        <v>54.972799999999999</v>
      </c>
      <c r="D49" s="1">
        <v>-160.33320000000001</v>
      </c>
      <c r="E49" s="5">
        <v>40.32</v>
      </c>
      <c r="F49" s="4">
        <v>44041.383525763886</v>
      </c>
      <c r="G49" s="1">
        <v>8116.1869198248296</v>
      </c>
      <c r="H49" s="1">
        <v>72.760497642900006</v>
      </c>
      <c r="I49" s="1">
        <v>684.07299999999998</v>
      </c>
      <c r="J49" s="1" t="s">
        <v>105</v>
      </c>
      <c r="K49" s="1" t="str">
        <f t="shared" si="2"/>
        <v>['5.6 41 km SSE of Sand Point, Alaska',54.9728,-160.3332],</v>
      </c>
      <c r="L49" s="1" t="str">
        <f t="shared" si="3"/>
        <v>[54.9728, -160.3332,40.32,'2020-07-29 09:12:17', 72.7604976429, 684.073, 'M5.6 41 km SSE of Sand Point, Alaska','https://earthquake.usgs.gov/earthquakes/eventpage/us6000b5zl/executive']</v>
      </c>
    </row>
    <row r="50" spans="1:12" x14ac:dyDescent="0.25">
      <c r="A50" s="1">
        <v>4.9000000000000004</v>
      </c>
      <c r="B50" s="1" t="s">
        <v>102</v>
      </c>
      <c r="C50" s="1">
        <v>-10.315799999999999</v>
      </c>
      <c r="D50" s="1">
        <v>-74.987200000000001</v>
      </c>
      <c r="E50" s="5">
        <v>47.58</v>
      </c>
      <c r="F50" s="4">
        <v>44041.400361481479</v>
      </c>
      <c r="G50" s="1">
        <v>9489.9327881175504</v>
      </c>
      <c r="H50" s="1">
        <v>85.435991938900003</v>
      </c>
      <c r="I50" s="1">
        <v>752.44500000000005</v>
      </c>
      <c r="J50" s="1" t="s">
        <v>103</v>
      </c>
      <c r="K50" s="1" t="str">
        <f t="shared" si="2"/>
        <v>['4.9 53 km ENE of Oxapampa, Peru',-10.3158,-74.9872],</v>
      </c>
      <c r="L50" s="1" t="str">
        <f t="shared" si="3"/>
        <v>[-10.3158, -74.9872,47.58,'2020-07-29 09:36:31', 85.4359919389, 752.445, 'M4.9 53 km ENE of Oxapampa, Peru','https://earthquake.usgs.gov/earthquakes/eventpage/us6000b608/executive']</v>
      </c>
    </row>
    <row r="51" spans="1:12" x14ac:dyDescent="0.25">
      <c r="A51" s="1">
        <v>4.8</v>
      </c>
      <c r="B51" s="1" t="s">
        <v>100</v>
      </c>
      <c r="C51" s="1">
        <v>54.750799999999998</v>
      </c>
      <c r="D51" s="1">
        <v>-161.08949999999999</v>
      </c>
      <c r="E51" s="5">
        <v>37.119999999999997</v>
      </c>
      <c r="F51" s="4">
        <v>44041.54803460648</v>
      </c>
      <c r="G51" s="1">
        <v>8153.3858261771102</v>
      </c>
      <c r="H51" s="1">
        <v>73.094439406000006</v>
      </c>
      <c r="I51" s="1">
        <v>686.41099999999994</v>
      </c>
      <c r="J51" s="1" t="s">
        <v>101</v>
      </c>
      <c r="K51" s="1" t="str">
        <f t="shared" si="2"/>
        <v>['4.8 75 km SSW of Sand Point, Alaska',54.7508,-161.0895],</v>
      </c>
      <c r="L51" s="1" t="str">
        <f t="shared" si="3"/>
        <v>[54.7508, -161.0895,37.12,'2020-07-29 13:09:10', 73.094439406, 686.411, 'M4.8 75 km SSW of Sand Point, Alaska','https://earthquake.usgs.gov/earthquakes/eventpage/us6000b62p/executive']</v>
      </c>
    </row>
    <row r="52" spans="1:12" x14ac:dyDescent="0.25">
      <c r="A52" s="1">
        <v>5</v>
      </c>
      <c r="B52" s="1" t="s">
        <v>107</v>
      </c>
      <c r="C52" s="1">
        <v>54.844999999999999</v>
      </c>
      <c r="D52" s="1">
        <v>-158.19919999999999</v>
      </c>
      <c r="E52" s="1">
        <v>1.8</v>
      </c>
      <c r="F52" s="4">
        <v>44042.672412812499</v>
      </c>
      <c r="G52" s="1">
        <v>8089.7256099328297</v>
      </c>
      <c r="H52" s="1">
        <v>72.523411567099998</v>
      </c>
      <c r="I52" s="1">
        <v>688.404</v>
      </c>
      <c r="J52" s="1" t="s">
        <v>108</v>
      </c>
      <c r="K52" s="1" t="str">
        <f t="shared" si="2"/>
        <v>['5 132 km SSE of Perryville, Alaska',54.845,-158.1992],</v>
      </c>
      <c r="L52" s="1" t="str">
        <f t="shared" si="3"/>
        <v>[54.845, -158.1992,1.8,'2020-07-30 16:08:16', 72.5234115671, 688.404, 'M5 132 km SSE of Perryville, Alaska','https://earthquake.usgs.gov/earthquakes/eventpage/ak0209qvi9kl/executive']</v>
      </c>
    </row>
    <row r="53" spans="1:12" x14ac:dyDescent="0.25">
      <c r="A53" s="1">
        <v>5.7</v>
      </c>
      <c r="B53" s="1" t="s">
        <v>109</v>
      </c>
      <c r="C53" s="1">
        <v>-19.0322</v>
      </c>
      <c r="D53" s="1">
        <v>-173.49350000000001</v>
      </c>
      <c r="E53" s="1">
        <v>10</v>
      </c>
      <c r="F53" s="4">
        <v>44042.803356759257</v>
      </c>
      <c r="G53" s="1">
        <v>16391.3228299232</v>
      </c>
      <c r="H53" s="1">
        <v>147.43367924500001</v>
      </c>
      <c r="I53" s="1">
        <v>1035.623</v>
      </c>
      <c r="J53" s="1" t="s">
        <v>110</v>
      </c>
      <c r="K53" s="1" t="str">
        <f t="shared" si="2"/>
        <v>['5.7 66 km SE of Neiafu, Tonga',-19.0322,-173.4935],</v>
      </c>
      <c r="L53" s="1" t="str">
        <f t="shared" si="3"/>
        <v>[-19.0322, -173.4935,10,'2020-07-30 19:16:50', 147.433679245, 1035.623, 'M5.7 66 km SE of Neiafu, Tonga','https://earthquake.usgs.gov/earthquakes/eventpage/us6000b72l/executive']</v>
      </c>
    </row>
    <row r="54" spans="1:12" x14ac:dyDescent="0.25">
      <c r="A54" s="1">
        <v>4.9000000000000004</v>
      </c>
      <c r="B54" s="1" t="s">
        <v>61</v>
      </c>
      <c r="C54" s="1">
        <v>-20.6892</v>
      </c>
      <c r="D54" s="1">
        <v>-178.40190000000001</v>
      </c>
      <c r="E54" s="1">
        <v>573.75</v>
      </c>
      <c r="F54" s="4">
        <v>44044.364475185183</v>
      </c>
      <c r="G54" s="1">
        <v>16671.877368272199</v>
      </c>
      <c r="H54" s="1">
        <v>149.96810472300001</v>
      </c>
      <c r="I54" s="1">
        <v>985.63699999999994</v>
      </c>
      <c r="J54" s="1" t="s">
        <v>113</v>
      </c>
      <c r="K54" s="1" t="str">
        <f t="shared" si="2"/>
        <v>['4.9 Fiji region',-20.6892,-178.4019],</v>
      </c>
      <c r="L54" s="1" t="str">
        <f t="shared" si="3"/>
        <v>[-20.6892, -178.4019,573.75,'2020-08-01 08:44:51', 149.968104723, 985.637, 'M4.9 Fiji region','https://earthquake.usgs.gov/earthquakes/eventpage/us6000b7wg/executive']</v>
      </c>
    </row>
    <row r="55" spans="1:12" x14ac:dyDescent="0.25">
      <c r="A55" s="1">
        <v>6.4</v>
      </c>
      <c r="B55" s="1" t="s">
        <v>111</v>
      </c>
      <c r="C55" s="1">
        <v>7.3037000000000001</v>
      </c>
      <c r="D55" s="1">
        <v>124.14190000000001</v>
      </c>
      <c r="E55" s="1">
        <v>479.56</v>
      </c>
      <c r="F55" s="4">
        <v>44044.714604050925</v>
      </c>
      <c r="G55" s="1">
        <v>11988.945516489101</v>
      </c>
      <c r="H55" s="1">
        <v>107.71606571</v>
      </c>
      <c r="I55" s="1">
        <v>806.83</v>
      </c>
      <c r="J55" s="1" t="s">
        <v>112</v>
      </c>
      <c r="K55" s="1" t="str">
        <f t="shared" si="2"/>
        <v>['6.4 10 km WSW of Polloc, Philippines',7.3037,124.1419],</v>
      </c>
      <c r="L55" s="1" t="str">
        <f t="shared" si="3"/>
        <v>[7.3037, 124.1419,479.56,'2020-08-01 17:09:02', 107.71606571, 806.83, 'M6.4 10 km WSW of Polloc, Philippines','https://earthquake.usgs.gov/earthquakes/eventpage/us6000b80p/executive']</v>
      </c>
    </row>
    <row r="56" spans="1:12" x14ac:dyDescent="0.25">
      <c r="A56" s="1">
        <v>5.6</v>
      </c>
      <c r="B56" s="1" t="s">
        <v>114</v>
      </c>
      <c r="C56" s="1">
        <v>-23.064499999999999</v>
      </c>
      <c r="D56" s="1">
        <v>-175.8175</v>
      </c>
      <c r="E56" s="1">
        <v>10</v>
      </c>
      <c r="F56" s="4">
        <v>44044.82344792824</v>
      </c>
      <c r="G56" s="1">
        <v>16881.285510816899</v>
      </c>
      <c r="H56" s="1">
        <v>151.857952756</v>
      </c>
      <c r="I56" s="1">
        <v>1055.2619999999999</v>
      </c>
      <c r="J56" s="1" t="s">
        <v>115</v>
      </c>
      <c r="K56" s="1" t="str">
        <f t="shared" si="2"/>
        <v>['5.6 211 km SSW of ‘Ohonua, Tonga',-23.0645,-175.8175],</v>
      </c>
      <c r="L56" s="1" t="str">
        <f t="shared" si="3"/>
        <v>[-23.0645, -175.8175,10,'2020-08-01 19:45:46', 151.857952756, 1055.262, 'M5.6 211 km SSW of ‘Ohonua, Tonga','https://earthquake.usgs.gov/earthquakes/eventpage/us6000b84u/executive']</v>
      </c>
    </row>
    <row r="57" spans="1:12" x14ac:dyDescent="0.25">
      <c r="A57" s="1">
        <v>4.9000000000000004</v>
      </c>
      <c r="B57" s="1" t="s">
        <v>116</v>
      </c>
      <c r="C57" s="1">
        <v>-15.4489</v>
      </c>
      <c r="D57" s="1">
        <v>167.65899999999999</v>
      </c>
      <c r="E57" s="1">
        <v>131.24</v>
      </c>
      <c r="F57" s="4">
        <v>44048.079083032404</v>
      </c>
      <c r="G57" s="1">
        <v>16092.115395926699</v>
      </c>
      <c r="H57" s="1">
        <v>144.73069335900001</v>
      </c>
      <c r="I57" s="1">
        <v>1008.412</v>
      </c>
      <c r="J57" s="1" t="s">
        <v>117</v>
      </c>
      <c r="K57" s="1" t="str">
        <f t="shared" si="2"/>
        <v>['4.9 53 km E of Luganville, Vanuatu',-15.4489,167.659],</v>
      </c>
      <c r="L57" s="1" t="str">
        <f t="shared" si="3"/>
        <v>[-15.4489, 167.659,131.24,'2020-08-05 01:53:53', 144.730693359, 1008.412, 'M4.9 53 km E of Luganville, Vanuatu','https://earthquake.usgs.gov/earthquakes/eventpage/us6000b9hf/executive']</v>
      </c>
    </row>
    <row r="58" spans="1:12" x14ac:dyDescent="0.25">
      <c r="A58" s="1">
        <v>6.4</v>
      </c>
      <c r="B58" s="1" t="s">
        <v>120</v>
      </c>
      <c r="C58" s="1">
        <v>-16.111799999999999</v>
      </c>
      <c r="D58" s="1">
        <v>168.08160000000001</v>
      </c>
      <c r="E58" s="1">
        <v>174.75</v>
      </c>
      <c r="F58" s="4">
        <v>44048.503891666667</v>
      </c>
      <c r="G58" s="1">
        <v>16170.889341002299</v>
      </c>
      <c r="H58" s="1">
        <v>145.442477739</v>
      </c>
      <c r="I58" s="1">
        <v>1006.533</v>
      </c>
      <c r="J58" s="1" t="s">
        <v>121</v>
      </c>
      <c r="K58" s="1" t="str">
        <f t="shared" si="2"/>
        <v>['6.4 Vanuatu',-16.1118,168.0816],</v>
      </c>
      <c r="L58" s="1" t="str">
        <f t="shared" si="3"/>
        <v>[-16.1118, 168.0816,174.75,'2020-08-05 12:05:36', 145.442477739, 1006.533, 'M6.4 Vanuatu','https://earthquake.usgs.gov/earthquakes/eventpage/us6000b9mv/executive']</v>
      </c>
    </row>
    <row r="59" spans="1:12" x14ac:dyDescent="0.25">
      <c r="A59" s="1">
        <v>5.2</v>
      </c>
      <c r="B59" s="1" t="s">
        <v>118</v>
      </c>
      <c r="C59" s="1">
        <v>54.599699999999999</v>
      </c>
      <c r="D59" s="1">
        <v>-161.20009999999999</v>
      </c>
      <c r="E59" s="1">
        <v>4.7699999999999996</v>
      </c>
      <c r="F59" s="4">
        <v>44048.678939375</v>
      </c>
      <c r="G59" s="1">
        <v>8171.5124974963401</v>
      </c>
      <c r="H59" s="1">
        <v>73.257240649400003</v>
      </c>
      <c r="I59" s="1">
        <v>692.27300000000002</v>
      </c>
      <c r="J59" s="1" t="s">
        <v>119</v>
      </c>
      <c r="K59" s="1" t="str">
        <f t="shared" si="2"/>
        <v>['5.2 88 km SE of King Cove, Alaska',54.5997,-161.2001],</v>
      </c>
      <c r="L59" s="1" t="str">
        <f t="shared" si="3"/>
        <v>[54.5997, -161.2001,4.77,'2020-08-05 16:17:40', 73.2572406494, 692.273, 'M5.2 88 km SE of King Cove, Alaska','https://earthquake.usgs.gov/earthquakes/eventpage/us6000b9r9/executive']</v>
      </c>
    </row>
    <row r="60" spans="1:12" x14ac:dyDescent="0.25">
      <c r="A60" s="1">
        <v>5.0999999999999996</v>
      </c>
      <c r="B60" s="1" t="s">
        <v>122</v>
      </c>
      <c r="C60" s="1">
        <v>37.389899999999997</v>
      </c>
      <c r="D60" s="1">
        <v>138.72730000000001</v>
      </c>
      <c r="E60" s="1">
        <v>177.42</v>
      </c>
      <c r="F60" s="4">
        <v>44049.129570439814</v>
      </c>
      <c r="G60" s="1">
        <v>9674.0017719021307</v>
      </c>
      <c r="H60" s="1">
        <v>86.781500547600004</v>
      </c>
      <c r="I60" s="1">
        <v>744.06299999999999</v>
      </c>
      <c r="J60" s="1" t="s">
        <v>123</v>
      </c>
      <c r="K60" s="1" t="str">
        <f t="shared" si="2"/>
        <v>['5.1 11 km NNW of Ojiya, Japan',37.3899,138.7273],</v>
      </c>
      <c r="L60" s="1" t="str">
        <f t="shared" si="3"/>
        <v>[37.3899, 138.7273,177.42,'2020-08-06 03:06:35', 86.7815005476, 744.063, 'M5.1 11 km NNW of Ojiya, Japan','https://earthquake.usgs.gov/earthquakes/eventpage/us6000b9yh/executive']</v>
      </c>
    </row>
    <row r="61" spans="1:12" x14ac:dyDescent="0.25">
      <c r="A61" s="1">
        <v>4.9000000000000004</v>
      </c>
      <c r="B61" s="1" t="s">
        <v>124</v>
      </c>
      <c r="C61" s="1">
        <v>52.476399999999998</v>
      </c>
      <c r="D61" s="1">
        <v>158.88149999999999</v>
      </c>
      <c r="E61" s="1">
        <v>81.900000000000006</v>
      </c>
      <c r="F61" s="4">
        <v>44050.153634895833</v>
      </c>
      <c r="G61" s="1">
        <v>8521.9804790599701</v>
      </c>
      <c r="H61" s="1">
        <v>76.404134855199999</v>
      </c>
      <c r="I61" s="1">
        <v>700.50599999999997</v>
      </c>
      <c r="J61" s="1" t="s">
        <v>125</v>
      </c>
      <c r="K61" s="1" t="str">
        <f t="shared" si="2"/>
        <v>['4.9 59 km SSE of Vilyuchinsk, Russia',52.4764,158.8815],</v>
      </c>
      <c r="L61" s="1" t="str">
        <f t="shared" si="3"/>
        <v>[52.4764, 158.8815,81.9,'2020-08-07 03:41:14', 76.4041348552, 700.506, 'M4.9 59 km SSE of Vilyuchinsk, Russia','https://earthquake.usgs.gov/earthquakes/eventpage/us6000bafa/executive']</v>
      </c>
    </row>
    <row r="62" spans="1:12" x14ac:dyDescent="0.25">
      <c r="A62" s="1">
        <v>5.3</v>
      </c>
      <c r="B62" s="1" t="s">
        <v>130</v>
      </c>
      <c r="C62" s="1">
        <v>54.801099999999998</v>
      </c>
      <c r="D62" s="1">
        <v>-158.26079999999999</v>
      </c>
      <c r="E62" s="1">
        <v>24.7</v>
      </c>
      <c r="F62" s="4">
        <v>44051.536786192133</v>
      </c>
      <c r="G62" s="1">
        <v>8095.5842764760901</v>
      </c>
      <c r="H62" s="1">
        <v>72.576019612099998</v>
      </c>
      <c r="I62" s="1">
        <v>685.05799999999999</v>
      </c>
      <c r="J62" s="1" t="s">
        <v>135</v>
      </c>
      <c r="K62" s="1" t="str">
        <f t="shared" si="2"/>
        <v>['5.3 south of Alaska',54.8011,-158.2608],</v>
      </c>
      <c r="L62" s="1" t="str">
        <f t="shared" si="3"/>
        <v>[54.8011, -158.2608,24.7,'2020-08-08 12:52:58', 72.5760196121, 685.058, 'M5.3 south of Alaska','https://earthquake.usgs.gov/earthquakes/eventpage/ak020a5p89cv/executive']</v>
      </c>
    </row>
    <row r="63" spans="1:12" x14ac:dyDescent="0.25">
      <c r="A63" s="1">
        <v>5.5</v>
      </c>
      <c r="B63" s="1" t="s">
        <v>133</v>
      </c>
      <c r="C63" s="1">
        <v>54.838900000000002</v>
      </c>
      <c r="D63" s="1">
        <v>-161.3373</v>
      </c>
      <c r="E63" s="1">
        <v>42.11</v>
      </c>
      <c r="F63" s="4">
        <v>44051.613133692132</v>
      </c>
      <c r="G63" s="1">
        <v>8148.2734823699502</v>
      </c>
      <c r="H63" s="1">
        <v>73.048450779299998</v>
      </c>
      <c r="I63" s="1">
        <v>685.57899999999995</v>
      </c>
      <c r="J63" s="1" t="s">
        <v>134</v>
      </c>
      <c r="K63" s="1" t="str">
        <f t="shared" si="2"/>
        <v>['5.5 67 km ESE of King Cove, Alaska',54.8389,-161.3373],</v>
      </c>
      <c r="L63" s="1" t="str">
        <f t="shared" si="3"/>
        <v>[54.8389, -161.3373,42.11,'2020-08-08 14:42:55', 73.0484507793, 685.579, 'M5.5 67 km ESE of King Cove, Alaska','https://earthquake.usgs.gov/earthquakes/eventpage/us6000bb4r/executive']</v>
      </c>
    </row>
    <row r="64" spans="1:12" x14ac:dyDescent="0.25">
      <c r="A64" s="1">
        <v>5.0999999999999996</v>
      </c>
      <c r="B64" s="1" t="s">
        <v>137</v>
      </c>
      <c r="C64" s="1">
        <v>36.475833299999998</v>
      </c>
      <c r="D64" s="1">
        <v>-81.093333299999998</v>
      </c>
      <c r="E64" s="1">
        <v>3.7</v>
      </c>
      <c r="F64" s="4">
        <v>44052.505295833333</v>
      </c>
      <c r="G64" s="1">
        <v>6063.3580499334803</v>
      </c>
      <c r="H64" s="1">
        <v>54.395815994499998</v>
      </c>
      <c r="I64" s="1">
        <v>568.01099999999997</v>
      </c>
      <c r="J64" s="1" t="s">
        <v>138</v>
      </c>
      <c r="K64" s="1" t="str">
        <f t="shared" ref="K64:K87" si="4">"['" &amp; A64 &amp; " " &amp; B64 &amp; "'," &amp; C64 &amp; "," &amp; D64 &amp; "],"</f>
        <v>['5.1 4 km SE of Sparta, North Carolina',36.4758333,-81.0933333],</v>
      </c>
      <c r="L64" s="1" t="str">
        <f t="shared" ref="L64:L87" si="5">"[" &amp; C64 &amp; ", " &amp; D64 &amp; "," &amp; E64 &amp; ",'" &amp; TEXT(F64,"yyyy-mm-dd hh:mm:ss") &amp; "', " &amp; H64 &amp; ", " &amp; I64 &amp; ", 'M" &amp; A64 &amp; " " &amp; B64 &amp; "','" &amp; J64 &amp; "']"</f>
        <v>[36.4758333, -81.0933333,3.7,'2020-08-09 12:07:38', 54.3958159945, 568.011, 'M5.1 4 km SE of Sparta, North Carolina','https://earthquake.usgs.gov/earthquakes/eventpage/se60324281/executive']</v>
      </c>
    </row>
    <row r="65" spans="1:12" x14ac:dyDescent="0.25">
      <c r="A65" s="1">
        <v>5.2</v>
      </c>
      <c r="B65" s="1" t="s">
        <v>131</v>
      </c>
      <c r="C65" s="1">
        <v>0.9294</v>
      </c>
      <c r="D65" s="1">
        <v>-27.733000000000001</v>
      </c>
      <c r="E65" s="1">
        <v>10</v>
      </c>
      <c r="F65" s="4">
        <v>44052.529320532405</v>
      </c>
      <c r="G65" s="1">
        <v>5867.5478624830803</v>
      </c>
      <c r="H65" s="1">
        <v>52.909119492099997</v>
      </c>
      <c r="I65" s="1">
        <v>556.101</v>
      </c>
      <c r="J65" s="1" t="s">
        <v>136</v>
      </c>
      <c r="K65" s="1" t="str">
        <f t="shared" si="4"/>
        <v>['5.2 central Mid-Atlantic Ridge',0.9294,-27.733],</v>
      </c>
      <c r="L65" s="1" t="str">
        <f t="shared" si="5"/>
        <v>[0.9294, -27.733,10,'2020-08-09 12:42:13', 52.9091194921, 556.101, 'M5.2 central Mid-Atlantic Ridge','https://earthquake.usgs.gov/earthquakes/eventpage/us6000bbh7/executive']</v>
      </c>
    </row>
    <row r="66" spans="1:12" x14ac:dyDescent="0.25">
      <c r="A66" s="1">
        <v>5.2</v>
      </c>
      <c r="B66" s="1" t="s">
        <v>139</v>
      </c>
      <c r="C66" s="1">
        <v>55.060499999999998</v>
      </c>
      <c r="D66" s="1">
        <v>-157.9545</v>
      </c>
      <c r="E66" s="1">
        <v>32.6</v>
      </c>
      <c r="F66" s="4">
        <v>44052.623531759258</v>
      </c>
      <c r="G66" s="1">
        <v>8062.0923456706896</v>
      </c>
      <c r="H66" s="1">
        <v>72.275269459699999</v>
      </c>
      <c r="I66" s="1">
        <v>682.125</v>
      </c>
      <c r="J66" s="1" t="s">
        <v>140</v>
      </c>
      <c r="K66" s="1" t="str">
        <f t="shared" si="4"/>
        <v>['5.2 120 km SE of Perryville, Alaska',55.0605,-157.9545],</v>
      </c>
      <c r="L66" s="1" t="str">
        <f t="shared" si="5"/>
        <v>[55.0605, -157.9545,32.6,'2020-08-09 14:57:53', 72.2752694597, 682.125, 'M5.2 120 km SE of Perryville, Alaska','https://earthquake.usgs.gov/earthquakes/eventpage/ak020a7dzfzp/executive']</v>
      </c>
    </row>
    <row r="67" spans="1:12" x14ac:dyDescent="0.25">
      <c r="A67" s="1">
        <v>6</v>
      </c>
      <c r="B67" s="1" t="s">
        <v>143</v>
      </c>
      <c r="C67" s="1">
        <v>-7.3282999999999996</v>
      </c>
      <c r="D67" s="1">
        <v>39.807299999999998</v>
      </c>
      <c r="E67" s="1">
        <v>15.49</v>
      </c>
      <c r="F67" s="4">
        <v>44055.717545092593</v>
      </c>
      <c r="G67" s="1">
        <v>7710.0898384562397</v>
      </c>
      <c r="H67" s="1">
        <v>69.476237592800004</v>
      </c>
      <c r="I67" s="1">
        <v>667.65700000000004</v>
      </c>
      <c r="J67" s="1" t="s">
        <v>144</v>
      </c>
      <c r="K67" s="1" t="str">
        <f t="shared" si="4"/>
        <v>['6 66 km ESE of Vikindu, Tanzania',-7.3283,39.8073],</v>
      </c>
      <c r="L67" s="1" t="str">
        <f t="shared" si="5"/>
        <v>[-7.3283, 39.8073,15.49,'2020-08-12 17:13:16', 69.4762375928, 667.657, 'M6 66 km ESE of Vikindu, Tanzania','https://earthquake.usgs.gov/earthquakes/eventpage/us6000bdg8/executive']</v>
      </c>
    </row>
    <row r="68" spans="1:12" x14ac:dyDescent="0.25">
      <c r="A68" s="1">
        <v>5</v>
      </c>
      <c r="B68" s="1" t="s">
        <v>141</v>
      </c>
      <c r="C68" s="1">
        <v>48.81</v>
      </c>
      <c r="D68" s="1">
        <v>154.80629999999999</v>
      </c>
      <c r="E68" s="1">
        <v>45.86</v>
      </c>
      <c r="F68" s="4">
        <v>44055.72919229167</v>
      </c>
      <c r="G68" s="1">
        <v>8863.2309051618195</v>
      </c>
      <c r="H68" s="1">
        <v>79.472849933099994</v>
      </c>
      <c r="I68" s="1">
        <v>721.61500000000001</v>
      </c>
      <c r="J68" s="1" t="s">
        <v>142</v>
      </c>
      <c r="K68" s="1" t="str">
        <f t="shared" si="4"/>
        <v>['5 228 km SSW of Severo-Kuril’sk, Russia',48.81,154.8063],</v>
      </c>
      <c r="L68" s="1" t="str">
        <f t="shared" si="5"/>
        <v>[48.81, 154.8063,45.86,'2020-08-12 17:30:02', 79.4728499331, 721.615, 'M5 228 km SSW of Severo-Kuril’sk, Russia','https://earthquake.usgs.gov/earthquakes/eventpage/us6000bdgz/executive']</v>
      </c>
    </row>
    <row r="69" spans="1:12" x14ac:dyDescent="0.25">
      <c r="A69" s="1">
        <v>5.6</v>
      </c>
      <c r="B69" s="1" t="s">
        <v>145</v>
      </c>
      <c r="C69" s="1">
        <v>28.047799999999999</v>
      </c>
      <c r="D69" s="1">
        <v>65.991100000000003</v>
      </c>
      <c r="E69" s="1">
        <v>13.15</v>
      </c>
      <c r="F69" s="4">
        <v>44055.944972314814</v>
      </c>
      <c r="G69" s="1">
        <v>6357.4157367137796</v>
      </c>
      <c r="H69" s="1">
        <v>57.069884258400002</v>
      </c>
      <c r="I69" s="1">
        <v>585.71199999999999</v>
      </c>
      <c r="J69" s="1" t="s">
        <v>146</v>
      </c>
      <c r="K69" s="1" t="str">
        <f t="shared" si="4"/>
        <v>['5.6 55 km SSW of Surab, Pakistan',28.0478,65.9911],</v>
      </c>
      <c r="L69" s="1" t="str">
        <f t="shared" si="5"/>
        <v>[28.0478, 65.9911,13.15,'2020-08-12 22:40:46', 57.0698842584, 585.712, 'M5.6 55 km SSW of Surab, Pakistan','https://earthquake.usgs.gov/earthquakes/eventpage/us6000bdq8/executive']</v>
      </c>
    </row>
    <row r="70" spans="1:12" x14ac:dyDescent="0.25">
      <c r="A70" s="1">
        <v>5.7</v>
      </c>
      <c r="B70" s="1" t="s">
        <v>147</v>
      </c>
      <c r="C70" s="1">
        <v>53.42</v>
      </c>
      <c r="D70" s="1">
        <v>-163.69730000000001</v>
      </c>
      <c r="E70" s="1">
        <v>10.43</v>
      </c>
      <c r="F70" s="4">
        <v>44056.277755023148</v>
      </c>
      <c r="G70" s="1">
        <v>8340.4647106525808</v>
      </c>
      <c r="H70" s="1">
        <v>74.7744331862</v>
      </c>
      <c r="I70" s="1">
        <v>700.22299999999996</v>
      </c>
      <c r="J70" s="1" t="s">
        <v>148</v>
      </c>
      <c r="K70" s="1" t="str">
        <f t="shared" si="4"/>
        <v>['5.7 158 km ESE of Akutan, Alaska',53.42,-163.6973],</v>
      </c>
      <c r="L70" s="1" t="str">
        <f t="shared" si="5"/>
        <v>[53.42, -163.6973,10.43,'2020-08-13 06:39:58', 74.7744331862, 700.223, 'M5.7 158 km ESE of Akutan, Alaska','https://earthquake.usgs.gov/earthquakes/eventpage/us6000bduv/executive']</v>
      </c>
    </row>
    <row r="71" spans="1:12" x14ac:dyDescent="0.25">
      <c r="A71" s="1">
        <v>2.9</v>
      </c>
      <c r="B71" s="1" t="s">
        <v>149</v>
      </c>
      <c r="C71" s="1">
        <v>49.72</v>
      </c>
      <c r="D71" s="1">
        <v>-1.77</v>
      </c>
      <c r="E71" s="1">
        <v>2</v>
      </c>
      <c r="F71" s="4">
        <v>44059.609506944442</v>
      </c>
      <c r="G71" s="1">
        <v>251</v>
      </c>
      <c r="H71" s="1">
        <v>2.25</v>
      </c>
      <c r="I71" s="1">
        <v>45</v>
      </c>
      <c r="J71" s="1" t="s">
        <v>150</v>
      </c>
      <c r="K71" s="1" t="str">
        <f t="shared" si="4"/>
        <v>['2.9 6 km NW of Urville-Nacqueville, France',49.72,-1.77],</v>
      </c>
      <c r="L71" s="1" t="str">
        <f t="shared" si="5"/>
        <v>[49.72, -1.77,2,'2020-08-16 14:37:41', 2.25, 45, 'M2.9 6 km NW of Urville-Nacqueville, France','https://www.emsc-csem.org/Earthquake/earthquake.php?id=885826']</v>
      </c>
    </row>
    <row r="72" spans="1:12" s="6" customFormat="1" x14ac:dyDescent="0.25">
      <c r="A72" s="1">
        <v>5.7</v>
      </c>
      <c r="B72" s="1" t="s">
        <v>151</v>
      </c>
      <c r="C72" s="1">
        <v>51.100499999999997</v>
      </c>
      <c r="D72" s="1">
        <v>-171.12620000000001</v>
      </c>
      <c r="E72" s="1">
        <v>10</v>
      </c>
      <c r="F72" s="11">
        <v>44059.837367812499</v>
      </c>
      <c r="G72" s="1">
        <v>8694.8480606820594</v>
      </c>
      <c r="H72" s="1">
        <v>77.957390418000003</v>
      </c>
      <c r="I72" s="1">
        <v>718.36099999999999</v>
      </c>
      <c r="J72" s="1" t="s">
        <v>152</v>
      </c>
      <c r="K72" s="1" t="str">
        <f t="shared" si="4"/>
        <v>['5.7 245 km ESE of Atka, Alaska',51.1005,-171.1262],</v>
      </c>
      <c r="L72" s="1" t="str">
        <f t="shared" si="5"/>
        <v>[51.1005, -171.1262,10,'2020-08-16 20:05:49', 77.957390418, 718.361, 'M5.7 245 km ESE of Atka, Alaska','https://earthquake.usgs.gov/earthquakes/eventpage/us6000bfpw/executive']</v>
      </c>
    </row>
    <row r="73" spans="1:12" s="6" customFormat="1" x14ac:dyDescent="0.25">
      <c r="A73" s="1">
        <v>5</v>
      </c>
      <c r="B73" s="1" t="s">
        <v>155</v>
      </c>
      <c r="C73" s="1">
        <v>36.939799999999998</v>
      </c>
      <c r="D73" s="1">
        <v>23.7364</v>
      </c>
      <c r="E73" s="1">
        <v>93.46</v>
      </c>
      <c r="F73" s="4">
        <v>44060.31044666667</v>
      </c>
      <c r="G73" s="1">
        <v>2736.83895603458</v>
      </c>
      <c r="H73" s="1">
        <v>24.571842555300002</v>
      </c>
      <c r="I73" s="1">
        <v>311.11</v>
      </c>
      <c r="J73" s="1" t="s">
        <v>156</v>
      </c>
      <c r="K73" s="1" t="str">
        <f t="shared" si="4"/>
        <v>['5 51 km SSE of Ýdra, Greece',36.9398,23.7364],</v>
      </c>
      <c r="L73" s="1" t="str">
        <f t="shared" si="5"/>
        <v>[36.9398, 23.7364,93.46,'2020-08-17 07:27:03', 24.5718425553, 311.11, 'M5 51 km SSE of Ýdra, Greece','https://earthquake.usgs.gov/earthquakes/eventpage/us6000bfuq/executive']</v>
      </c>
    </row>
    <row r="74" spans="1:12" s="6" customFormat="1" x14ac:dyDescent="0.25">
      <c r="A74" s="1">
        <v>5</v>
      </c>
      <c r="B74" s="1" t="s">
        <v>153</v>
      </c>
      <c r="C74" s="1">
        <v>-18.0716</v>
      </c>
      <c r="D74" s="1">
        <v>-178.42760000000001</v>
      </c>
      <c r="E74" s="1">
        <v>592.67999999999995</v>
      </c>
      <c r="F74" s="4">
        <v>44060.411258784719</v>
      </c>
      <c r="G74" s="1">
        <v>16385.530704879398</v>
      </c>
      <c r="H74" s="1">
        <v>147.381719981</v>
      </c>
      <c r="I74" s="1">
        <v>972.44399999999996</v>
      </c>
      <c r="J74" s="1" t="s">
        <v>154</v>
      </c>
      <c r="K74" s="1" t="str">
        <f t="shared" si="4"/>
        <v>['5 238 km E of Levuka, Fiji',-18.0716,-178.4276],</v>
      </c>
      <c r="L74" s="1" t="str">
        <f t="shared" si="5"/>
        <v>[-18.0716, -178.4276,592.68,'2020-08-17 09:52:13', 147.381719981, 972.444, 'M5 238 km E of Levuka, Fiji','https://earthquake.usgs.gov/earthquakes/eventpage/us6000bfwe/executive']</v>
      </c>
    </row>
    <row r="75" spans="1:12" x14ac:dyDescent="0.25">
      <c r="A75" s="1">
        <v>5</v>
      </c>
      <c r="B75" s="1" t="s">
        <v>157</v>
      </c>
      <c r="C75" s="1">
        <v>55.000300000000003</v>
      </c>
      <c r="D75" s="1">
        <v>-157.91669999999999</v>
      </c>
      <c r="E75" s="1">
        <v>41.5</v>
      </c>
      <c r="F75" s="4">
        <v>44061.769826840275</v>
      </c>
      <c r="G75" s="1">
        <v>8067.7273677399698</v>
      </c>
      <c r="H75" s="1">
        <v>72.325896135700006</v>
      </c>
      <c r="I75" s="1">
        <v>681.35400000000004</v>
      </c>
      <c r="J75" s="1" t="s">
        <v>158</v>
      </c>
      <c r="K75" s="1" t="str">
        <f t="shared" si="4"/>
        <v>['5 127 km SE of Perryville, Alaska',55.0003,-157.9167],</v>
      </c>
      <c r="L75" s="1" t="str">
        <f t="shared" si="5"/>
        <v>[55.0003, -157.9167,41.5,'2020-08-18 18:28:33', 72.3258961357, 681.354, 'M5 127 km SE of Perryville, Alaska','https://earthquake.usgs.gov/earthquakes/eventpage/ak020amc11hi/executive']</v>
      </c>
    </row>
    <row r="76" spans="1:12" x14ac:dyDescent="0.25">
      <c r="A76" s="1">
        <v>4.7</v>
      </c>
      <c r="B76" s="1" t="s">
        <v>61</v>
      </c>
      <c r="C76" s="1">
        <v>-21.327500000000001</v>
      </c>
      <c r="D76" s="1">
        <v>-179.2414</v>
      </c>
      <c r="E76" s="1">
        <v>605.52</v>
      </c>
      <c r="F76" s="4">
        <v>44061.915100798615</v>
      </c>
      <c r="G76" s="1">
        <v>16754.233689558601</v>
      </c>
      <c r="H76" s="1">
        <v>150.71202323200001</v>
      </c>
      <c r="I76" s="1">
        <v>986.07299999999998</v>
      </c>
      <c r="J76" s="1" t="s">
        <v>161</v>
      </c>
      <c r="K76" s="1" t="str">
        <f t="shared" si="4"/>
        <v>['4.7 Fiji region',-21.3275,-179.2414],</v>
      </c>
      <c r="L76" s="1" t="str">
        <f t="shared" si="5"/>
        <v>[-21.3275, -179.2414,605.52,'2020-08-18 21:57:45', 150.712023232, 986.073, 'M4.7 Fiji region','https://earthquake.usgs.gov/earthquakes/eventpage/us6000bgv6/executive']</v>
      </c>
    </row>
    <row r="77" spans="1:12" x14ac:dyDescent="0.25">
      <c r="A77" s="1">
        <v>6.9</v>
      </c>
      <c r="B77" s="1" t="s">
        <v>159</v>
      </c>
      <c r="C77" s="1">
        <v>-4.2781000000000002</v>
      </c>
      <c r="D77" s="1">
        <v>101.22799999999999</v>
      </c>
      <c r="E77" s="1">
        <v>26</v>
      </c>
      <c r="F77" s="4">
        <v>44061.937087604165</v>
      </c>
      <c r="G77" s="1">
        <v>11537.643824439199</v>
      </c>
      <c r="H77" s="1">
        <v>103.74101873399999</v>
      </c>
      <c r="I77" s="1">
        <v>839.10699999999997</v>
      </c>
      <c r="J77" s="1" t="s">
        <v>160</v>
      </c>
      <c r="K77" s="1" t="str">
        <f t="shared" si="4"/>
        <v>['6.9 126 km WSW of Bengkulu, Indonesia',-4.2781,101.228],</v>
      </c>
      <c r="L77" s="1" t="str">
        <f t="shared" si="5"/>
        <v>[-4.2781, 101.228,26,'2020-08-18 22:29:24', 103.741018734, 839.107, 'M6.9 126 km WSW of Bengkulu, Indonesia','https://earthquake.usgs.gov/earthquakes/eventpage/us6000bgvu/executive']</v>
      </c>
    </row>
    <row r="78" spans="1:12" x14ac:dyDescent="0.25">
      <c r="A78" s="1">
        <v>5.0999999999999996</v>
      </c>
      <c r="B78" s="1" t="s">
        <v>162</v>
      </c>
      <c r="C78" s="1">
        <v>54.9499</v>
      </c>
      <c r="D78" s="1">
        <v>-160.30109999999999</v>
      </c>
      <c r="E78" s="1">
        <v>45.41</v>
      </c>
      <c r="F78" s="4">
        <v>44062.823602303244</v>
      </c>
      <c r="G78" s="1">
        <v>8118.05449172524</v>
      </c>
      <c r="H78" s="1">
        <v>72.777281780799996</v>
      </c>
      <c r="I78" s="1">
        <v>683.60199999999998</v>
      </c>
      <c r="J78" s="1" t="s">
        <v>163</v>
      </c>
      <c r="K78" s="1" t="str">
        <f t="shared" si="4"/>
        <v>['5.1 44 km SSE of Sand Point, Alaska',54.9499,-160.3011],</v>
      </c>
      <c r="L78" s="1" t="str">
        <f t="shared" si="5"/>
        <v>[54.9499, -160.3011,45.41,'2020-08-19 19:45:59', 72.7772817808, 683.602, 'M5.1 44 km SSE of Sand Point, Alaska','https://earthquake.usgs.gov/earthquakes/eventpage/us6000bhbu/executive']</v>
      </c>
    </row>
    <row r="79" spans="1:12" x14ac:dyDescent="0.25">
      <c r="A79" s="1">
        <v>6.9</v>
      </c>
      <c r="B79" s="1" t="s">
        <v>164</v>
      </c>
      <c r="C79" s="1">
        <v>-6.6703999999999999</v>
      </c>
      <c r="D79" s="1">
        <v>123.4927</v>
      </c>
      <c r="E79" s="1">
        <v>627.33000000000004</v>
      </c>
      <c r="F79" s="4">
        <v>44064.173521712961</v>
      </c>
      <c r="G79" s="1">
        <v>13246.8629700745</v>
      </c>
      <c r="H79" s="1">
        <v>119.095628507</v>
      </c>
      <c r="I79" s="1">
        <v>843.78700000000003</v>
      </c>
      <c r="J79" s="1" t="s">
        <v>165</v>
      </c>
      <c r="K79" s="1" t="str">
        <f t="shared" si="4"/>
        <v>['6.9 220 km SSE of Katabu, Indonesia',-6.6704,123.4927],</v>
      </c>
      <c r="L79" s="1" t="str">
        <f t="shared" si="5"/>
        <v>[-6.6704, 123.4927,627.33,'2020-08-21 04:09:52', 119.095628507, 843.787, 'M6.9 220 km SSE of Katabu, Indonesia','https://earthquake.usgs.gov/earthquakes/eventpage/us6000bi4p/executive']</v>
      </c>
    </row>
    <row r="80" spans="1:12" x14ac:dyDescent="0.25">
      <c r="A80" s="1">
        <v>4.9000000000000004</v>
      </c>
      <c r="B80" s="1" t="s">
        <v>170</v>
      </c>
      <c r="C80" s="1">
        <v>-17.336099999999998</v>
      </c>
      <c r="D80" s="1">
        <v>168.04589999999999</v>
      </c>
      <c r="E80" s="1">
        <v>10</v>
      </c>
      <c r="F80" s="4">
        <v>44066.886449293983</v>
      </c>
      <c r="G80" s="1">
        <v>16304.6485305511</v>
      </c>
      <c r="H80" s="1">
        <v>146.65101436200001</v>
      </c>
      <c r="I80" s="1">
        <v>1032.1489999999999</v>
      </c>
      <c r="J80" s="1" t="s">
        <v>167</v>
      </c>
      <c r="K80" s="1" t="str">
        <f t="shared" si="4"/>
        <v>['4.9 52 km NNW of Port-Vila, Vanuatu',-17.3361,168.0459],</v>
      </c>
      <c r="L80" s="1" t="str">
        <f t="shared" si="5"/>
        <v>[-17.3361, 168.0459,10,'2020-08-23 21:16:29', 146.651014362, 1032.149, 'M4.9 52 km NNW of Port-Vila, Vanuatu','https://earthquake.usgs.gov/earthquakes/eventpage/us6000bjil/executive']</v>
      </c>
    </row>
    <row r="81" spans="1:12" x14ac:dyDescent="0.25">
      <c r="A81" s="1">
        <v>5</v>
      </c>
      <c r="B81" s="1" t="s">
        <v>166</v>
      </c>
      <c r="C81" s="1">
        <v>-17.3278</v>
      </c>
      <c r="D81" s="1">
        <v>168.0206</v>
      </c>
      <c r="E81" s="1">
        <v>10.4</v>
      </c>
      <c r="F81" s="4">
        <v>44066.886452129627</v>
      </c>
      <c r="G81" s="1">
        <v>16303.371267098501</v>
      </c>
      <c r="H81" s="1">
        <v>146.63947412900001</v>
      </c>
      <c r="I81" s="1">
        <v>1032.0309999999999</v>
      </c>
      <c r="J81" s="1" t="s">
        <v>167</v>
      </c>
      <c r="K81" s="1" t="str">
        <f t="shared" si="4"/>
        <v>['5 54 km NW of Port-Vila, Vanuatu',-17.3278,168.0206],</v>
      </c>
      <c r="L81" s="1" t="str">
        <f t="shared" si="5"/>
        <v>[-17.3278, 168.0206,10.4,'2020-08-23 21:16:29', 146.639474129, 1032.031, 'M5 54 km NW of Port-Vila, Vanuatu','https://earthquake.usgs.gov/earthquakes/eventpage/us6000bjil/executive']</v>
      </c>
    </row>
    <row r="82" spans="1:12" x14ac:dyDescent="0.25">
      <c r="A82" s="1">
        <v>5</v>
      </c>
      <c r="B82" s="1" t="s">
        <v>168</v>
      </c>
      <c r="C82" s="1">
        <v>-3.7625999999999999</v>
      </c>
      <c r="D82" s="1">
        <v>29.266300000000001</v>
      </c>
      <c r="E82" s="1">
        <v>9.14</v>
      </c>
      <c r="F82" s="4">
        <v>44067.592518321762</v>
      </c>
      <c r="G82" s="1">
        <v>6832.1034099448498</v>
      </c>
      <c r="H82" s="1">
        <v>61.585345347000001</v>
      </c>
      <c r="I82" s="1">
        <v>617.61699999999996</v>
      </c>
      <c r="J82" s="1" t="s">
        <v>169</v>
      </c>
      <c r="K82" s="1" t="str">
        <f t="shared" si="4"/>
        <v>['5 30 km NW of Rumonge, Burundi',-3.7626,29.2663],</v>
      </c>
      <c r="L82" s="1" t="str">
        <f t="shared" si="5"/>
        <v>[-3.7626, 29.2663,9.14,'2020-08-24 14:13:14', 61.585345347, 617.617, 'M5 30 km NW of Rumonge, Burundi','https://earthquake.usgs.gov/earthquakes/eventpage/us6000bjrj/executive']</v>
      </c>
    </row>
    <row r="83" spans="1:12" x14ac:dyDescent="0.25">
      <c r="A83" s="1">
        <v>6</v>
      </c>
      <c r="B83" s="1" t="s">
        <v>175</v>
      </c>
      <c r="C83" s="1">
        <v>9.5975999999999999</v>
      </c>
      <c r="D83" s="1">
        <v>-84.601399999999998</v>
      </c>
      <c r="E83" s="1">
        <v>27.24</v>
      </c>
      <c r="F83" s="4">
        <v>44067.910538773147</v>
      </c>
      <c r="G83" s="1">
        <v>8441.9737927456208</v>
      </c>
      <c r="H83" s="1">
        <v>75.879314159900005</v>
      </c>
      <c r="I83" s="1">
        <v>703.95600000000002</v>
      </c>
      <c r="J83" s="1" t="s">
        <v>176</v>
      </c>
      <c r="K83" s="1" t="str">
        <f t="shared" si="4"/>
        <v>['6 3 km ESE of Jacó, Costa Rica',9.5976,-84.6014],</v>
      </c>
      <c r="L83" s="1" t="str">
        <f t="shared" si="5"/>
        <v>[9.5976, -84.6014,27.24,'2020-08-24 21:51:11', 75.8793141599, 703.956, 'M6 3 km ESE of Jacó, Costa Rica','https://earthquake.usgs.gov/earthquakes/eventpage/us7000bcbv/executive']</v>
      </c>
    </row>
    <row r="84" spans="1:12" x14ac:dyDescent="0.25">
      <c r="A84" s="1">
        <v>5.2</v>
      </c>
      <c r="B84" s="1" t="s">
        <v>173</v>
      </c>
      <c r="C84" s="1">
        <v>-21.826000000000001</v>
      </c>
      <c r="D84" s="1">
        <v>-175.39250000000001</v>
      </c>
      <c r="E84" s="1">
        <v>42.49</v>
      </c>
      <c r="F84" s="4">
        <v>44067.951391238428</v>
      </c>
      <c r="G84" s="1">
        <v>16737.882490543299</v>
      </c>
      <c r="H84" s="1">
        <v>150.563272001</v>
      </c>
      <c r="I84" s="1">
        <v>1044.729</v>
      </c>
      <c r="J84" s="1" t="s">
        <v>174</v>
      </c>
      <c r="K84" s="1" t="str">
        <f t="shared" si="4"/>
        <v>['5.2 71 km SW of ‘Ohonua, Tonga',-21.826,-175.3925],</v>
      </c>
      <c r="L84" s="1" t="str">
        <f t="shared" si="5"/>
        <v>[-21.826, -175.3925,42.49,'2020-08-24 22:50:00', 150.563272001, 1044.729, 'M5.2 71 km SW of ‘Ohonua, Tonga','https://earthquake.usgs.gov/earthquakes/eventpage/us7000bccm/executive']</v>
      </c>
    </row>
    <row r="85" spans="1:12" x14ac:dyDescent="0.25">
      <c r="A85" s="1">
        <v>5.5</v>
      </c>
      <c r="B85" s="1" t="s">
        <v>171</v>
      </c>
      <c r="C85" s="1">
        <v>-4.0303000000000004</v>
      </c>
      <c r="D85" s="1">
        <v>-80.824600000000004</v>
      </c>
      <c r="E85" s="1">
        <v>33.21</v>
      </c>
      <c r="F85" s="4">
        <v>44068.220975474534</v>
      </c>
      <c r="G85" s="1">
        <v>9337.9877456567101</v>
      </c>
      <c r="H85" s="1">
        <v>84.0199934555</v>
      </c>
      <c r="I85" s="1">
        <v>747.04499999999996</v>
      </c>
      <c r="J85" s="1" t="s">
        <v>172</v>
      </c>
      <c r="K85" s="1" t="str">
        <f t="shared" si="4"/>
        <v>['5.5 11 km WNW of Papayal, Peru',-4.0303,-80.8246],</v>
      </c>
      <c r="L85" s="1" t="str">
        <f t="shared" si="5"/>
        <v>[-4.0303, -80.8246,33.21,'2020-08-25 05:18:12', 84.0199934555, 747.045, 'M5.5 11 km WNW of Papayal, Peru','https://earthquake.usgs.gov/earthquakes/eventpage/us7000bcgc/executive']</v>
      </c>
    </row>
    <row r="86" spans="1:12" x14ac:dyDescent="0.25">
      <c r="A86" s="1">
        <v>4.5</v>
      </c>
      <c r="B86" s="1" t="s">
        <v>177</v>
      </c>
      <c r="C86" s="1">
        <v>71.922899999999998</v>
      </c>
      <c r="D86" s="1">
        <v>-1.5185999999999999</v>
      </c>
      <c r="E86" s="1">
        <v>10</v>
      </c>
      <c r="F86" s="4">
        <v>44069.387885324075</v>
      </c>
      <c r="G86" s="1">
        <v>2423.1700291039001</v>
      </c>
      <c r="H86" s="1">
        <v>21.747204543599999</v>
      </c>
      <c r="I86" s="1">
        <v>291.565</v>
      </c>
      <c r="J86" s="1" t="s">
        <v>178</v>
      </c>
      <c r="K86" s="1" t="str">
        <f t="shared" si="4"/>
        <v>['4.5 279 km ENE of Olonkinbyen, Svalbard and Jan Mayen',71.9229,-1.5186],</v>
      </c>
      <c r="L86" s="1" t="str">
        <f t="shared" si="5"/>
        <v>[71.9229, -1.5186,10,'2020-08-26 09:18:33', 21.7472045436, 291.565, 'M4.5 279 km ENE of Olonkinbyen, Svalbard and Jan Mayen','https://earthquake.usgs.gov/earthquakes/eventpage/us7000bd4g/executive']</v>
      </c>
    </row>
    <row r="87" spans="1:12" x14ac:dyDescent="0.25">
      <c r="A87" s="1">
        <v>4.8</v>
      </c>
      <c r="B87" s="1" t="s">
        <v>179</v>
      </c>
      <c r="C87" s="1">
        <v>-15.0243</v>
      </c>
      <c r="D87" s="1">
        <v>-179.0258</v>
      </c>
      <c r="E87" s="1">
        <v>407.33</v>
      </c>
      <c r="F87" s="4">
        <v>44071.081512199074</v>
      </c>
      <c r="G87" s="1">
        <v>16059.217780430799</v>
      </c>
      <c r="H87" s="1">
        <v>144.43335214800001</v>
      </c>
      <c r="I87" s="1">
        <v>976.79399999999998</v>
      </c>
      <c r="J87" s="1" t="s">
        <v>180</v>
      </c>
      <c r="K87" s="1" t="str">
        <f t="shared" si="4"/>
        <v>['4.8 123 km SW of Leava, Wallis and Futuna',-15.0243,-179.0258],</v>
      </c>
      <c r="L87" s="1" t="str">
        <f t="shared" si="5"/>
        <v>[-15.0243, -179.0258,407.33,'2020-08-28 01:57:23', 144.433352148, 976.794, 'M4.8 123 km SW of Leava, Wallis and Futuna','https://earthquake.usgs.gov/earthquakes/eventpage/us7000be5c/executive']</v>
      </c>
    </row>
    <row r="88" spans="1:12" x14ac:dyDescent="0.25">
      <c r="A88" s="1">
        <v>5</v>
      </c>
      <c r="B88" s="1" t="s">
        <v>181</v>
      </c>
      <c r="C88" s="1">
        <v>27.832599999999999</v>
      </c>
      <c r="D88" s="1">
        <v>53.181199999999997</v>
      </c>
      <c r="E88" s="1">
        <v>10</v>
      </c>
      <c r="F88" s="4">
        <v>44074.150608055555</v>
      </c>
      <c r="G88" s="1">
        <v>5461.2405863920603</v>
      </c>
      <c r="H88" s="1">
        <v>49.036370888</v>
      </c>
      <c r="I88" s="1">
        <v>526.94100000000003</v>
      </c>
      <c r="J88" s="1" t="s">
        <v>182</v>
      </c>
      <c r="K88" s="1" t="str">
        <f t="shared" ref="K88:K90" si="6">"['" &amp; A88 &amp; " " &amp; B88 &amp; "'," &amp; C88 &amp; "," &amp; D88 &amp; "],"</f>
        <v>['5 42 km NE of Mohr, Iran',27.8326,53.1812],</v>
      </c>
      <c r="L88" s="1" t="str">
        <f t="shared" ref="L88:L90" si="7">"[" &amp; C88 &amp; ", " &amp; D88 &amp; "," &amp; E88 &amp; ",'" &amp; TEXT(F88,"yyyy-mm-dd hh:mm:ss") &amp; "', " &amp; H88 &amp; ", " &amp; I88 &amp; ", 'M" &amp; A88 &amp; " " &amp; B88 &amp; "','" &amp; J88 &amp; "']"</f>
        <v>[27.8326, 53.1812,10,'2020-08-31 03:36:53', 49.036370888, 526.941, 'M5 42 km NE of Mohr, Iran','https://earthquake.usgs.gov/earthquakes/eventpage/us7000bf5e/executive']</v>
      </c>
    </row>
    <row r="89" spans="1:12" x14ac:dyDescent="0.25">
      <c r="A89" s="1">
        <v>5</v>
      </c>
      <c r="B89" s="1" t="s">
        <v>183</v>
      </c>
      <c r="C89" s="1">
        <v>-17.150099999999998</v>
      </c>
      <c r="D89" s="1">
        <v>167.9134</v>
      </c>
      <c r="E89" s="1">
        <v>35</v>
      </c>
      <c r="F89" s="4">
        <v>44073.903059386575</v>
      </c>
      <c r="G89" s="1">
        <v>16282.3237590114</v>
      </c>
      <c r="H89" s="1">
        <v>146.44931503800001</v>
      </c>
      <c r="I89" s="1">
        <v>1027.3489999999999</v>
      </c>
      <c r="J89" s="1" t="s">
        <v>184</v>
      </c>
      <c r="K89" s="1" t="str">
        <f t="shared" si="6"/>
        <v>['5 77 km NNW of Port-Vila, Vanuatu',-17.1501,167.9134],</v>
      </c>
      <c r="L89" s="1" t="str">
        <f t="shared" si="7"/>
        <v>[-17.1501, 167.9134,35,'2020-08-30 21:40:24', 146.449315038, 1027.349, 'M5 77 km NNW of Port-Vila, Vanuatu','https://earthquake.usgs.gov/earthquakes/eventpage/us7000bf3r/executive']</v>
      </c>
    </row>
    <row r="90" spans="1:12" x14ac:dyDescent="0.25">
      <c r="A90" s="1">
        <v>6.5</v>
      </c>
      <c r="B90" s="1" t="s">
        <v>131</v>
      </c>
      <c r="C90" s="1">
        <v>0.86960000000000004</v>
      </c>
      <c r="D90" s="1">
        <v>-29.704599999999999</v>
      </c>
      <c r="E90" s="1">
        <v>10</v>
      </c>
      <c r="F90" s="4">
        <v>44073.889220243058</v>
      </c>
      <c r="G90" s="1">
        <v>5944.1148329914704</v>
      </c>
      <c r="H90" s="1">
        <v>53.594155380799997</v>
      </c>
      <c r="I90" s="1">
        <v>561.14599999999996</v>
      </c>
      <c r="J90" s="1" t="s">
        <v>185</v>
      </c>
      <c r="K90" s="1" t="str">
        <f t="shared" si="6"/>
        <v>['6.5 central Mid-Atlantic Ridge',0.8696,-29.7046],</v>
      </c>
      <c r="L90" s="1" t="str">
        <f t="shared" si="7"/>
        <v>[0.8696, -29.7046,10,'2020-08-30 21:20:29', 53.5941553808, 561.146, 'M6.5 central Mid-Atlantic Ridge','https://earthquake.usgs.gov/earthquakes/eventpage/us7000bf3k/executive']</v>
      </c>
    </row>
    <row r="91" spans="1:12" x14ac:dyDescent="0.25">
      <c r="A91" s="1">
        <v>-0.1</v>
      </c>
      <c r="B91" s="1" t="s">
        <v>191</v>
      </c>
      <c r="C91" s="1">
        <v>50.28</v>
      </c>
      <c r="D91" s="1">
        <v>-5.3079999999999998</v>
      </c>
      <c r="E91" s="1">
        <v>7</v>
      </c>
      <c r="F91" s="4">
        <v>44069.933923611112</v>
      </c>
      <c r="G91" s="1">
        <v>10</v>
      </c>
      <c r="H91" s="1">
        <v>0.1</v>
      </c>
      <c r="I91" s="1">
        <v>2</v>
      </c>
      <c r="J91" s="1" t="s">
        <v>192</v>
      </c>
      <c r="K91" s="1" t="str">
        <f>"['" &amp; A91 &amp; " " &amp; B91 &amp; "'," &amp; C91 &amp; "," &amp; D91 &amp; "],"</f>
        <v>['-0.1 PORTREATH,CORNWALL',50.28,-5.308],</v>
      </c>
      <c r="L91" s="1" t="str">
        <f>"[" &amp; C91 &amp; ", " &amp; D91 &amp; "," &amp; E91 &amp; ",'" &amp; TEXT(F91,"yyyy-mm-dd hh:mm:ss") &amp; "', " &amp; H91 &amp; ", " &amp; I91 &amp; ", 'M" &amp; A91 &amp; " " &amp; B91 &amp; "','" &amp; J91 &amp; "']"</f>
        <v>[50.28, -5.308,7,'2020-08-26 22:24:51', 0.1, 2, 'M-0.1 PORTREATH,CORNWALL','https://earthquakes.bgs.ac.uk/earthquakes/recent_uk_events.html']</v>
      </c>
    </row>
    <row r="92" spans="1:12" x14ac:dyDescent="0.25">
      <c r="A92" s="1">
        <v>1.7</v>
      </c>
      <c r="B92" s="1" t="s">
        <v>193</v>
      </c>
      <c r="C92" s="1">
        <v>50.206000000000003</v>
      </c>
      <c r="D92" s="1">
        <v>-4.1280000000000001</v>
      </c>
      <c r="E92" s="1">
        <v>10</v>
      </c>
      <c r="F92" s="4">
        <v>44074.053229166668</v>
      </c>
      <c r="G92" s="1">
        <v>73</v>
      </c>
      <c r="H92" s="1">
        <v>0.7</v>
      </c>
      <c r="I92" s="1">
        <v>12</v>
      </c>
      <c r="J92" s="1" t="s">
        <v>192</v>
      </c>
      <c r="K92" s="1" t="str">
        <f>"['" &amp; A92 &amp; " " &amp; B92 &amp; "'," &amp; C92 &amp; "," &amp; D92 &amp; "],"</f>
        <v>['1.7 English Channel 18km S of Plymouth',50.206,-4.128],</v>
      </c>
      <c r="L92" s="1" t="str">
        <f>"[" &amp; C92 &amp; ", " &amp; D92 &amp; "," &amp; E92 &amp; ",'" &amp; TEXT(F92,"yyyy-mm-dd hh:mm:ss") &amp; "', " &amp; H92 &amp; ", " &amp; I92 &amp; ", 'M" &amp; A92 &amp; " " &amp; B92 &amp; "','" &amp; J92 &amp; "']"</f>
        <v>[50.206, -4.128,10,'2020-08-31 01:16:39', 0.7, 12, 'M1.7 English Channel 18km S of Plymouth','https://earthquakes.bgs.ac.uk/earthquakes/recent_uk_events.html']</v>
      </c>
    </row>
    <row r="93" spans="1:12" x14ac:dyDescent="0.25">
      <c r="A93" s="1">
        <v>6.8</v>
      </c>
      <c r="B93" s="1" t="s">
        <v>186</v>
      </c>
      <c r="C93" s="1">
        <v>-28.0121</v>
      </c>
      <c r="D93" s="1">
        <v>-71.237700000000004</v>
      </c>
      <c r="E93" s="1">
        <v>23</v>
      </c>
      <c r="F93" s="4">
        <v>44075.173250324071</v>
      </c>
      <c r="G93" s="1">
        <v>10829.1238434855</v>
      </c>
      <c r="H93" s="1">
        <v>97.577244750899993</v>
      </c>
      <c r="I93" s="1">
        <v>812.18100000000004</v>
      </c>
      <c r="J93" s="1" t="s">
        <v>187</v>
      </c>
      <c r="K93" s="1" t="str">
        <f>"['" &amp; A93 &amp; " " &amp; B93 &amp; "'," &amp; C93 &amp; "," &amp; D93 &amp; "],"</f>
        <v>['6.8 78 km NW of Vallenar, Chile',-28.0121,-71.2377],</v>
      </c>
      <c r="L93" s="1" t="str">
        <f>"[" &amp; C93 &amp; ", " &amp; D93 &amp; "," &amp; E93 &amp; ",'" &amp; TEXT(F93,"yyyy-mm-dd hh:mm:ss") &amp; "', " &amp; H93 &amp; ", " &amp; I93 &amp; ", 'M" &amp; A93 &amp; " " &amp; B93 &amp; "','" &amp; J93 &amp; "']"</f>
        <v>[-28.0121, -71.2377,23,'2020-09-01 04:09:29', 97.5772447509, 812.181, 'M6.8 78 km NW of Vallenar, Chile','https://earthquake.usgs.gov/earthquakes/eventpage/us7000bfjr/executive']</v>
      </c>
    </row>
    <row r="94" spans="1:12" x14ac:dyDescent="0.25">
      <c r="A94" s="1">
        <v>5.5</v>
      </c>
      <c r="B94" s="1" t="s">
        <v>188</v>
      </c>
      <c r="C94" s="1">
        <v>58.754600000000003</v>
      </c>
      <c r="D94" s="1">
        <v>159.0051</v>
      </c>
      <c r="E94" s="1">
        <v>10</v>
      </c>
      <c r="F94" s="4">
        <v>44075.035614733795</v>
      </c>
      <c r="G94" s="1">
        <v>7836.1783948633301</v>
      </c>
      <c r="H94" s="1">
        <v>70.244389710099995</v>
      </c>
      <c r="I94" s="1">
        <v>673.28200000000004</v>
      </c>
      <c r="J94" s="1" t="s">
        <v>189</v>
      </c>
      <c r="K94" s="1" t="str">
        <f t="shared" ref="K94:K95" si="8">"['" &amp; A94 &amp; " " &amp; B94 &amp; "'," &amp; C94 &amp; "," &amp; D94 &amp; "],"</f>
        <v>['5.5 65 km SW of Palana, Russia',58.7546,159.0051],</v>
      </c>
      <c r="L94" s="1" t="str">
        <f t="shared" ref="L94:L95" si="9">"[" &amp; C94 &amp; ", " &amp; D94 &amp; "," &amp; E94 &amp; ",'" &amp; TEXT(F94,"yyyy-mm-dd hh:mm:ss") &amp; "', " &amp; H94 &amp; ", " &amp; I94 &amp; ", 'M" &amp; A94 &amp; " " &amp; B94 &amp; "','" &amp; J94 &amp; "']"</f>
        <v>[58.7546, 159.0051,10,'2020-09-01 00:51:17', 70.2443897101, 673.282, 'M5.5 65 km SW of Palana, Russia','https://earthquake.usgs.gov/earthquakes/eventpage/us7000bfij/executive']</v>
      </c>
    </row>
    <row r="95" spans="1:12" x14ac:dyDescent="0.25">
      <c r="A95" s="1">
        <v>5.8</v>
      </c>
      <c r="B95" s="1" t="s">
        <v>132</v>
      </c>
      <c r="C95" s="1">
        <v>-55.4953</v>
      </c>
      <c r="D95" s="1">
        <v>-129.70949999999999</v>
      </c>
      <c r="E95" s="1">
        <v>10</v>
      </c>
      <c r="F95" s="4">
        <v>44074.852941400466</v>
      </c>
      <c r="G95" s="1">
        <v>16334.928429898901</v>
      </c>
      <c r="H95" s="1">
        <v>147.017797522</v>
      </c>
      <c r="I95" s="1">
        <v>1033.777</v>
      </c>
      <c r="J95" s="1" t="s">
        <v>190</v>
      </c>
      <c r="K95" s="1" t="str">
        <f t="shared" si="8"/>
        <v>['5.8 Pacific-Antarctic Ridge',-55.4953,-129.7095],</v>
      </c>
      <c r="L95" s="1" t="str">
        <f t="shared" si="9"/>
        <v>[-55.4953, -129.7095,10,'2020-08-31 20:28:14', 147.017797522, 1033.777, 'M5.8 Pacific-Antarctic Ridge','https://earthquake.usgs.gov/earthquakes/eventpage/us7000bffs/executive']</v>
      </c>
    </row>
    <row r="96" spans="1:12" x14ac:dyDescent="0.25">
      <c r="A96" s="1">
        <v>4.9000000000000004</v>
      </c>
      <c r="B96" s="1" t="s">
        <v>194</v>
      </c>
      <c r="C96" s="1">
        <v>43.106400000000001</v>
      </c>
      <c r="D96" s="1">
        <v>145.83799999999999</v>
      </c>
      <c r="E96" s="1">
        <v>55.92</v>
      </c>
      <c r="F96" s="4">
        <v>44076.441484039351</v>
      </c>
      <c r="G96" s="1">
        <v>9287.2093613266206</v>
      </c>
      <c r="H96" s="1">
        <v>83.291739986799996</v>
      </c>
      <c r="I96" s="1">
        <v>740.64499999999998</v>
      </c>
      <c r="J96" s="1" t="s">
        <v>195</v>
      </c>
      <c r="K96" s="1" t="str">
        <f t="shared" ref="K96:K97" si="10">"['" &amp; A96 &amp; " " &amp; B96 &amp; "'," &amp; C96 &amp; "," &amp; D96 &amp; "],"</f>
        <v>['4.9 32 km SE of Nemuro, Japan',43.1064,145.838],</v>
      </c>
      <c r="L96" s="1" t="str">
        <f t="shared" ref="L96:L97" si="11">"[" &amp; C96 &amp; ", " &amp; D96 &amp; "," &amp; E96 &amp; ",'" &amp; TEXT(F96,"yyyy-mm-dd hh:mm:ss") &amp; "', " &amp; H96 &amp; ", " &amp; I96 &amp; ", 'M" &amp; A96 &amp; " " &amp; B96 &amp; "','" &amp; J96 &amp; "']"</f>
        <v>[43.1064, 145.838,55.92,'2020-09-02 10:35:44', 83.2917399868, 740.645, 'M4.9 32 km SE of Nemuro, Japan','https://earthquake.usgs.gov/earthquakes/eventpage/us7000bgh8/executive']</v>
      </c>
    </row>
    <row r="97" spans="1:12" x14ac:dyDescent="0.25">
      <c r="A97" s="1">
        <v>3.7</v>
      </c>
      <c r="B97" s="1" t="s">
        <v>196</v>
      </c>
      <c r="C97" s="1">
        <v>41.93</v>
      </c>
      <c r="D97" s="1">
        <v>3.71</v>
      </c>
      <c r="E97" s="1">
        <v>5</v>
      </c>
      <c r="F97" s="4">
        <v>44076.063575231485</v>
      </c>
      <c r="G97" s="1">
        <v>1000</v>
      </c>
      <c r="H97" s="1">
        <v>10</v>
      </c>
      <c r="I97" s="1">
        <v>145</v>
      </c>
      <c r="J97" s="1" t="s">
        <v>197</v>
      </c>
      <c r="K97" s="1" t="str">
        <f t="shared" si="10"/>
        <v>['3.7 Spain',41.93,3.71],</v>
      </c>
      <c r="L97" s="1" t="str">
        <f t="shared" si="11"/>
        <v>[41.93, 3.71,5,'2020-09-02 01:31:33', 10, 145, 'M3.7 Spain','https://www.emsc-csem.org/Earthquake/europe/']</v>
      </c>
    </row>
    <row r="98" spans="1:12" x14ac:dyDescent="0.25">
      <c r="A98" s="1">
        <v>6.6</v>
      </c>
      <c r="B98" s="1" t="s">
        <v>131</v>
      </c>
      <c r="C98" s="1">
        <v>7.6997</v>
      </c>
      <c r="D98" s="1">
        <v>-37.238500000000002</v>
      </c>
      <c r="E98" s="1">
        <v>10</v>
      </c>
      <c r="F98" s="4">
        <v>44080.285638229165</v>
      </c>
      <c r="G98" s="1">
        <v>5572.4292145836498</v>
      </c>
      <c r="H98" s="1">
        <v>50.194891418099999</v>
      </c>
      <c r="I98" s="1">
        <v>535.77800000000002</v>
      </c>
      <c r="J98" s="1" t="s">
        <v>198</v>
      </c>
      <c r="K98" s="1" t="str">
        <f t="shared" ref="K98:K100" si="12">"['" &amp; A98 &amp; " " &amp; B98 &amp; "'," &amp; C98 &amp; "," &amp; D98 &amp; "],"</f>
        <v>['6.6 central Mid-Atlantic Ridge',7.6997,-37.2385],</v>
      </c>
      <c r="L98" s="1" t="str">
        <f t="shared" ref="L98:L100" si="13">"[" &amp; C98 &amp; ", " &amp; D98 &amp; "," &amp; E98 &amp; ",'" &amp; TEXT(F98,"yyyy-mm-dd hh:mm:ss") &amp; "', " &amp; H98 &amp; ", " &amp; I98 &amp; ", 'M" &amp; A98 &amp; " " &amp; B98 &amp; "','" &amp; J98 &amp; "']"</f>
        <v>[7.6997, -37.2385,10,'2020-09-06 06:51:19', 50.1948914181, 535.778, 'M6.6 central Mid-Atlantic Ridge','https://earthquake.usgs.gov/earthquakes/eventpage/us7000biu8/executive']</v>
      </c>
    </row>
    <row r="99" spans="1:12" x14ac:dyDescent="0.25">
      <c r="A99" s="1">
        <v>5.3</v>
      </c>
      <c r="B99" s="1" t="s">
        <v>128</v>
      </c>
      <c r="C99" s="1">
        <v>47.746299999999998</v>
      </c>
      <c r="D99" s="1">
        <v>-27.491499999999998</v>
      </c>
      <c r="E99" s="1">
        <v>10</v>
      </c>
      <c r="F99" s="4">
        <v>44080.276800046297</v>
      </c>
      <c r="G99" s="1">
        <v>1649.5635756321001</v>
      </c>
      <c r="H99" s="1">
        <v>14.791234018000001</v>
      </c>
      <c r="I99" s="1">
        <v>209.17099999999999</v>
      </c>
      <c r="J99" s="1" t="s">
        <v>199</v>
      </c>
      <c r="K99" s="1" t="str">
        <f t="shared" si="12"/>
        <v>['5.3 northern Mid-Atlantic Ridge',47.7463,-27.4915],</v>
      </c>
      <c r="L99" s="1" t="str">
        <f t="shared" si="13"/>
        <v>[47.7463, -27.4915,10,'2020-09-06 06:38:36', 14.791234018, 209.171, 'M5.3 northern Mid-Atlantic Ridge','https://earthquake.usgs.gov/earthquakes/eventpage/us7000biu4/executive']</v>
      </c>
    </row>
    <row r="100" spans="1:12" x14ac:dyDescent="0.25">
      <c r="A100" s="1">
        <v>6.2</v>
      </c>
      <c r="B100" s="1" t="s">
        <v>200</v>
      </c>
      <c r="C100" s="1">
        <v>-17.149699999999999</v>
      </c>
      <c r="D100" s="1">
        <v>167.57910000000001</v>
      </c>
      <c r="E100" s="1">
        <v>8.24</v>
      </c>
      <c r="F100" s="4">
        <v>44080.124485636574</v>
      </c>
      <c r="G100" s="1">
        <v>16277.246370815001</v>
      </c>
      <c r="H100" s="1">
        <v>146.40343661200001</v>
      </c>
      <c r="I100" s="1">
        <v>1031.346</v>
      </c>
      <c r="J100" s="1" t="s">
        <v>201</v>
      </c>
      <c r="K100" s="1" t="str">
        <f t="shared" si="12"/>
        <v>['6.2 101 km NW of Port-Vila, Vanuatu',-17.1497,167.5791],</v>
      </c>
      <c r="L100" s="1" t="str">
        <f t="shared" si="13"/>
        <v>[-17.1497, 167.5791,8.24,'2020-09-06 02:59:16', 146.403436612, 1031.346, 'M6.2 101 km NW of Port-Vila, Vanuatu','https://earthquake.usgs.gov/earthquakes/eventpage/us7000birm/executive']</v>
      </c>
    </row>
    <row r="101" spans="1:12" x14ac:dyDescent="0.25">
      <c r="A101" s="1">
        <v>5.7</v>
      </c>
      <c r="B101" s="1" t="s">
        <v>202</v>
      </c>
      <c r="C101" s="1">
        <v>-17.167300000000001</v>
      </c>
      <c r="D101" s="1">
        <v>168.4862</v>
      </c>
      <c r="E101" s="1">
        <v>10</v>
      </c>
      <c r="F101" s="4">
        <v>44081.270314062502</v>
      </c>
      <c r="G101" s="1">
        <v>16292.298149717801</v>
      </c>
      <c r="H101" s="1">
        <v>146.53944366799999</v>
      </c>
      <c r="I101" s="1">
        <v>1031.654</v>
      </c>
      <c r="J101" s="1" t="s">
        <v>203</v>
      </c>
      <c r="K101" s="1" t="str">
        <f t="shared" ref="K101:K102" si="14">"['" &amp; A101 &amp; " " &amp; B101 &amp; "'," &amp; C101 &amp; "," &amp; D101 &amp; "],"</f>
        <v>['5.7 65 km NNE of Port-Vila, Vanuatu',-17.1673,168.4862],</v>
      </c>
      <c r="L101" s="1" t="str">
        <f t="shared" ref="L101:L102" si="15">"[" &amp; C101 &amp; ", " &amp; D101 &amp; "," &amp; E101 &amp; ",'" &amp; TEXT(F101,"yyyy-mm-dd hh:mm:ss") &amp; "', " &amp; H101 &amp; ", " &amp; I101 &amp; ", 'M" &amp; A101 &amp; " " &amp; B101 &amp; "','" &amp; J101 &amp; "']"</f>
        <v>[-17.1673, 168.4862,10,'2020-09-07 06:29:15', 146.539443668, 1031.654, 'M5.7 65 km NNE of Port-Vila, Vanuatu','https://earthquake.usgs.gov/earthquakes/eventpage/us7000bj71/executive']</v>
      </c>
    </row>
    <row r="102" spans="1:12" x14ac:dyDescent="0.25">
      <c r="A102" s="1">
        <v>6.2</v>
      </c>
      <c r="B102" s="1" t="s">
        <v>204</v>
      </c>
      <c r="C102" s="1">
        <v>-17.093599999999999</v>
      </c>
      <c r="D102" s="1">
        <v>168.49690000000001</v>
      </c>
      <c r="E102" s="1">
        <v>10</v>
      </c>
      <c r="F102" s="4">
        <v>44081.258793171299</v>
      </c>
      <c r="G102" s="1">
        <v>16284.3521743331</v>
      </c>
      <c r="H102" s="1">
        <v>146.46765286600001</v>
      </c>
      <c r="I102" s="1">
        <v>1031.335</v>
      </c>
      <c r="J102" s="1" t="s">
        <v>205</v>
      </c>
      <c r="K102" s="1" t="str">
        <f t="shared" si="14"/>
        <v>['6.2 73 km NNE of Port-Vila, Vanuatu',-17.0936,168.4969],</v>
      </c>
      <c r="L102" s="1" t="str">
        <f t="shared" si="15"/>
        <v>[-17.0936, 168.4969,10,'2020-09-07 06:12:40', 146.467652866, 1031.335, 'M6.2 73 km NNE of Port-Vila, Vanuatu','https://earthquake.usgs.gov/earthquakes/eventpage/us7000bj6y/executive']</v>
      </c>
    </row>
    <row r="103" spans="1:12" x14ac:dyDescent="0.25">
      <c r="A103" s="1">
        <v>5.9</v>
      </c>
      <c r="B103" s="1" t="s">
        <v>206</v>
      </c>
      <c r="C103" s="1">
        <v>-4.9123999999999999</v>
      </c>
      <c r="D103" s="1">
        <v>129.7627</v>
      </c>
      <c r="E103" s="1">
        <v>174.05</v>
      </c>
      <c r="F103" s="4">
        <v>44082.031492499998</v>
      </c>
      <c r="G103" s="1">
        <v>13467.091492101301</v>
      </c>
      <c r="H103" s="1">
        <v>121.063842905</v>
      </c>
      <c r="I103" s="1">
        <v>898.39800000000002</v>
      </c>
      <c r="J103" s="1" t="s">
        <v>207</v>
      </c>
      <c r="K103" s="1" t="str">
        <f t="shared" ref="K103" si="16">"['" &amp; A103 &amp; " " &amp; B103 &amp; "'," &amp; C103 &amp; "," &amp; D103 &amp; "],"</f>
        <v>['5.9 197 km SSE of Amahai, Indonesia',-4.9124,129.7627],</v>
      </c>
      <c r="L103" s="1" t="str">
        <f t="shared" ref="L103" si="17">"[" &amp; C103 &amp; ", " &amp; D103 &amp; "," &amp; E103 &amp; ",'" &amp; TEXT(F103,"yyyy-mm-dd hh:mm:ss") &amp; "', " &amp; H103 &amp; ", " &amp; I103 &amp; ", 'M" &amp; A103 &amp; " " &amp; B103 &amp; "','" &amp; J103 &amp; "']"</f>
        <v>[-4.9124, 129.7627,174.05,'2020-09-08 00:45:21', 121.063842905, 898.398, 'M5.9 197 km SSE of Amahai, Indonesia','https://earthquake.usgs.gov/earthquakes/eventpage/us7000bjgb/executive']</v>
      </c>
    </row>
    <row r="104" spans="1:12" x14ac:dyDescent="0.25">
      <c r="A104" s="1">
        <v>5.3</v>
      </c>
      <c r="B104" s="1" t="s">
        <v>248</v>
      </c>
      <c r="C104" s="1">
        <v>39.995699999999999</v>
      </c>
      <c r="D104" s="1">
        <v>24.377700000000001</v>
      </c>
      <c r="E104" s="1">
        <v>10.76</v>
      </c>
      <c r="F104" s="11">
        <v>44100.951686736109</v>
      </c>
      <c r="G104" s="1">
        <v>2566.5145799259699</v>
      </c>
      <c r="H104" s="1">
        <v>23.032005238899998</v>
      </c>
      <c r="I104" s="1">
        <v>305.12700000000001</v>
      </c>
      <c r="J104" s="1" t="s">
        <v>249</v>
      </c>
      <c r="K104" s="1" t="str">
        <f>"['" &amp; A104 &amp; " " &amp; B104 &amp; "'," &amp; C104 &amp; "," &amp; D104 &amp; "],"</f>
        <v>['5.3 31 km SSE of Karyes, Greece',39.9957,24.3777],</v>
      </c>
      <c r="L104" s="1" t="str">
        <f>"[" &amp; C104 &amp; ", " &amp; D104 &amp; "," &amp; E104 &amp; ",'" &amp; TEXT(F104,"yyyy-mm-dd hh:mm:ss") &amp; "', " &amp; H104 &amp; ", " &amp; I104 &amp; ", 'M" &amp; A104 &amp; " " &amp; B104 &amp; "','" &amp; J104 &amp; "']"</f>
        <v>[39.9957, 24.3777,10.76,'2020-09-26 22:50:26', 23.0320052389, 305.127, 'M5.3 31 km SSE of Karyes, Greece','https://earthquake.usgs.gov/earthquakes/eventpage/us6000c1rq/executive']</v>
      </c>
    </row>
    <row r="105" spans="1:12" x14ac:dyDescent="0.25">
      <c r="A105" s="1">
        <v>5.6</v>
      </c>
      <c r="B105" s="1" t="s">
        <v>246</v>
      </c>
      <c r="C105" s="1">
        <v>51.934100000000001</v>
      </c>
      <c r="D105" s="1">
        <v>-169.76650000000001</v>
      </c>
      <c r="E105" s="1">
        <v>13.77</v>
      </c>
      <c r="F105" s="8">
        <v>44101.175201296297</v>
      </c>
      <c r="G105" s="1">
        <v>8587.6812255825498</v>
      </c>
      <c r="H105" s="1">
        <v>76.9944682812</v>
      </c>
      <c r="I105" s="1">
        <v>712.35299999999995</v>
      </c>
      <c r="J105" s="1" t="s">
        <v>247</v>
      </c>
      <c r="K105" s="1" t="str">
        <f>"['" &amp; A105 &amp; " " &amp; B105 &amp; "'," &amp; C105 &amp; "," &amp; D105 &amp; "],"</f>
        <v>['5.6 127 km SSW of Nikolski, Alaska',51.9341,-169.7665],</v>
      </c>
      <c r="L105" s="1" t="str">
        <f>"[" &amp; C105 &amp; ", " &amp; D105 &amp; "," &amp; E105 &amp; ",'" &amp; TEXT(F105,"yyyy-mm-dd hh:mm:ss") &amp; "', " &amp; H105 &amp; ", " &amp; I105 &amp; ", 'M" &amp; A105 &amp; " " &amp; B105 &amp; "','" &amp; J105 &amp; "']"</f>
        <v>[51.9341, -169.7665,13.77,'2020-09-27 04:12:17', 76.9944682812, 712.353, 'M5.6 127 km SSW of Nikolski, Alaska','https://earthquake.usgs.gov/earthquakes/eventpage/us6000c1tj/executive']</v>
      </c>
    </row>
    <row r="106" spans="1:12" s="6" customFormat="1" x14ac:dyDescent="0.25">
      <c r="A106" s="1">
        <v>5.6</v>
      </c>
      <c r="B106" s="1" t="s">
        <v>212</v>
      </c>
      <c r="C106" s="1">
        <v>-17.8809</v>
      </c>
      <c r="D106" s="1">
        <v>-178.0547</v>
      </c>
      <c r="E106" s="1">
        <v>556.57000000000005</v>
      </c>
      <c r="F106" s="4">
        <v>44086.109371666666</v>
      </c>
      <c r="G106" s="1">
        <v>16359.0288338931</v>
      </c>
      <c r="H106" s="1">
        <v>147.14228393299999</v>
      </c>
      <c r="I106" s="1">
        <v>974.66099999999994</v>
      </c>
      <c r="J106" s="1" t="s">
        <v>213</v>
      </c>
      <c r="K106" s="1" t="str">
        <f t="shared" ref="K106:K115" si="18">"['" &amp; A106 &amp; " " &amp; B106 &amp; "'," &amp; C106 &amp; "," &amp; D106 &amp; "],"</f>
        <v>['5.6 279 km E of Levuka, Fiji',-17.8809,-178.0547],</v>
      </c>
      <c r="L106" s="1" t="str">
        <f t="shared" ref="L106:L115" si="19">"[" &amp; C106 &amp; ", " &amp; D106 &amp; "," &amp; E106 &amp; ",'" &amp; TEXT(F106,"yyyy-mm-dd hh:mm:ss") &amp; "', " &amp; H106 &amp; ", " &amp; I106 &amp; ", 'M" &amp; A106 &amp; " " &amp; B106 &amp; "','" &amp; J106 &amp; "']"</f>
        <v>[-17.8809, -178.0547,556.57,'2020-09-12 02:37:30', 147.142283933, 974.661, 'M5.6 279 km E of Levuka, Fiji','https://earthquake.usgs.gov/earthquakes/eventpage/us7000bm9g/executive']</v>
      </c>
    </row>
    <row r="107" spans="1:12" s="6" customFormat="1" x14ac:dyDescent="0.25">
      <c r="A107" s="1">
        <v>6.3</v>
      </c>
      <c r="B107" s="1" t="s">
        <v>208</v>
      </c>
      <c r="C107" s="1">
        <v>-21.392800000000001</v>
      </c>
      <c r="D107" s="1">
        <v>-69.894300000000001</v>
      </c>
      <c r="E107" s="1">
        <v>51</v>
      </c>
      <c r="F107" s="4">
        <v>44085.316642291669</v>
      </c>
      <c r="G107" s="1">
        <v>10155.1870093941</v>
      </c>
      <c r="H107" s="1">
        <v>91.490235407699998</v>
      </c>
      <c r="I107" s="1">
        <v>780.8</v>
      </c>
      <c r="J107" s="1" t="s">
        <v>209</v>
      </c>
      <c r="K107" s="1" t="str">
        <f t="shared" si="18"/>
        <v>['6.3 83 km NNE of Tocopilla, Chile',-21.3928,-69.8943],</v>
      </c>
      <c r="L107" s="1" t="str">
        <f t="shared" si="19"/>
        <v>[-21.3928, -69.8943,51,'2020-09-11 07:35:58', 91.4902354077, 780.8, 'M6.3 83 km NNE of Tocopilla, Chile','https://earthquake.usgs.gov/earthquakes/eventpage/us7000blm2/executive']</v>
      </c>
    </row>
    <row r="108" spans="1:12" s="6" customFormat="1" x14ac:dyDescent="0.25">
      <c r="A108" s="1">
        <v>5.9</v>
      </c>
      <c r="B108" s="1" t="s">
        <v>214</v>
      </c>
      <c r="C108" s="1">
        <v>-17.2562</v>
      </c>
      <c r="D108" s="1">
        <v>167.69380000000001</v>
      </c>
      <c r="E108" s="1">
        <v>10</v>
      </c>
      <c r="F108" s="4">
        <v>44086.357261423611</v>
      </c>
      <c r="G108" s="1">
        <v>16290.665263848099</v>
      </c>
      <c r="H108" s="1">
        <v>146.524672815</v>
      </c>
      <c r="I108" s="1">
        <v>1031.588</v>
      </c>
      <c r="J108" s="1" t="s">
        <v>215</v>
      </c>
      <c r="K108" s="1" t="str">
        <f t="shared" si="18"/>
        <v>['5.9 84 km NW of Port-Vila, Vanuatu',-17.2562,167.6938],</v>
      </c>
      <c r="L108" s="1" t="str">
        <f t="shared" si="19"/>
        <v>[-17.2562, 167.6938,10,'2020-09-12 08:34:27', 146.524672815, 1031.588, 'M5.9 84 km NW of Port-Vila, Vanuatu','https://earthquake.usgs.gov/earthquakes/eventpage/us7000bmcx/executive']</v>
      </c>
    </row>
    <row r="109" spans="1:12" s="6" customFormat="1" x14ac:dyDescent="0.25">
      <c r="A109" s="1">
        <v>6.1</v>
      </c>
      <c r="B109" s="1" t="s">
        <v>210</v>
      </c>
      <c r="C109" s="1">
        <v>38.759099999999997</v>
      </c>
      <c r="D109" s="1">
        <v>142.2473</v>
      </c>
      <c r="E109" s="1">
        <v>32.090000000000003</v>
      </c>
      <c r="F109" s="4">
        <v>44086.114015844905</v>
      </c>
      <c r="G109" s="1">
        <v>9643.84495971449</v>
      </c>
      <c r="H109" s="1">
        <v>86.506027020800005</v>
      </c>
      <c r="I109" s="1">
        <v>759.60799999999995</v>
      </c>
      <c r="J109" s="1" t="s">
        <v>211</v>
      </c>
      <c r="K109" s="1" t="str">
        <f t="shared" si="18"/>
        <v>['6.1 57 km SE of Ōfunato, Japan',38.7591,142.2473],</v>
      </c>
      <c r="L109" s="1" t="str">
        <f t="shared" si="19"/>
        <v>[38.7591, 142.2473,32.09,'2020-09-12 02:44:11', 86.5060270208, 759.608, 'M6.1 57 km SE of Ōfunato, Japan','https://earthquake.usgs.gov/earthquakes/eventpage/us7000bm9m/executive']</v>
      </c>
    </row>
    <row r="110" spans="1:12" s="6" customFormat="1" x14ac:dyDescent="0.25">
      <c r="A110" s="1">
        <v>5.2</v>
      </c>
      <c r="B110" s="1" t="s">
        <v>216</v>
      </c>
      <c r="C110" s="1">
        <v>-7.3137999999999996</v>
      </c>
      <c r="D110" s="1">
        <v>128.45769999999999</v>
      </c>
      <c r="E110" s="1">
        <v>140.81</v>
      </c>
      <c r="F110" s="4">
        <v>44086.851611099541</v>
      </c>
      <c r="G110" s="1">
        <v>13613.1588684621</v>
      </c>
      <c r="H110" s="1">
        <v>122.38916417199999</v>
      </c>
      <c r="I110" s="1">
        <v>908.12400000000002</v>
      </c>
      <c r="J110" s="1" t="s">
        <v>217</v>
      </c>
      <c r="K110" s="1" t="str">
        <f t="shared" si="18"/>
        <v>['5.2 209 km NE of Lospalos, Timor Leste',-7.3138,128.4577],</v>
      </c>
      <c r="L110" s="1" t="str">
        <f t="shared" si="19"/>
        <v>[-7.3138, 128.4577,140.81,'2020-09-12 20:26:19', 122.389164172, 908.124, 'M5.2 209 km NE of Lospalos, Timor Leste','https://earthquake.usgs.gov/earthquakes/eventpage/us7000bmip/executive']</v>
      </c>
    </row>
    <row r="111" spans="1:12" s="6" customFormat="1" x14ac:dyDescent="0.25">
      <c r="A111" s="1">
        <v>3.1</v>
      </c>
      <c r="B111" s="1" t="s">
        <v>218</v>
      </c>
      <c r="C111" s="1">
        <v>49.56</v>
      </c>
      <c r="D111" s="1">
        <v>-1.55</v>
      </c>
      <c r="E111" s="1">
        <v>10</v>
      </c>
      <c r="F111" s="4">
        <v>44086.58758796296</v>
      </c>
      <c r="G111" s="1">
        <f>H111*111</f>
        <v>270.83999999999997</v>
      </c>
      <c r="H111" s="1">
        <v>2.44</v>
      </c>
      <c r="I111" s="1">
        <v>38</v>
      </c>
      <c r="J111" s="1" t="s">
        <v>219</v>
      </c>
      <c r="K111" s="1" t="str">
        <f t="shared" si="18"/>
        <v>['3.1 France',49.56,-1.55],</v>
      </c>
      <c r="L111" s="1" t="str">
        <f t="shared" si="19"/>
        <v>[49.56, -1.55,10,'2020-09-12 14:06:08', 2.44, 38, 'M3.1 France','https://www.emsc-csem.org/Earthquake/earthquake.php?id=902005']</v>
      </c>
    </row>
    <row r="112" spans="1:12" s="6" customFormat="1" x14ac:dyDescent="0.25">
      <c r="A112" s="1">
        <v>2.7</v>
      </c>
      <c r="B112" s="1" t="s">
        <v>218</v>
      </c>
      <c r="C112" s="1">
        <v>49.62</v>
      </c>
      <c r="D112" s="1">
        <v>-1.54</v>
      </c>
      <c r="E112" s="1">
        <v>14</v>
      </c>
      <c r="F112" s="4">
        <v>44087.718304398149</v>
      </c>
      <c r="G112" s="1">
        <f>H112*111</f>
        <v>268.62</v>
      </c>
      <c r="H112" s="1">
        <v>2.42</v>
      </c>
      <c r="I112" s="1">
        <v>37</v>
      </c>
      <c r="J112" s="1" t="s">
        <v>220</v>
      </c>
      <c r="K112" s="1" t="str">
        <f t="shared" si="18"/>
        <v>['2.7 France',49.62,-1.54],</v>
      </c>
      <c r="L112" s="1" t="str">
        <f t="shared" si="19"/>
        <v>[49.62, -1.54,14,'2020-09-13 17:14:21', 2.42, 37, 'M2.7 France','https://www.emsc-csem.org/Earthquake/earthquake.php?id=902278']</v>
      </c>
    </row>
    <row r="113" spans="1:12" s="6" customFormat="1" x14ac:dyDescent="0.25">
      <c r="A113" s="1">
        <v>2.8</v>
      </c>
      <c r="B113" s="1" t="s">
        <v>218</v>
      </c>
      <c r="C113" s="1">
        <v>49.62</v>
      </c>
      <c r="D113" s="1">
        <v>-1.55</v>
      </c>
      <c r="E113" s="1">
        <v>0</v>
      </c>
      <c r="F113" s="4">
        <v>44087.511611111113</v>
      </c>
      <c r="G113" s="1">
        <f>H113*111</f>
        <v>268.62</v>
      </c>
      <c r="H113" s="1">
        <v>2.42</v>
      </c>
      <c r="I113" s="1">
        <v>37</v>
      </c>
      <c r="J113" s="12" t="s">
        <v>222</v>
      </c>
      <c r="K113" s="1" t="str">
        <f t="shared" si="18"/>
        <v>['2.8 France',49.62,-1.55],</v>
      </c>
      <c r="L113" s="1" t="str">
        <f t="shared" si="19"/>
        <v>[49.62, -1.55,0,'2020-09-13 12:16:43', 2.42, 37, 'M2.8 France','https://www.emsc-csem.org/Earthquake/earthquake.php?id=902188']</v>
      </c>
    </row>
    <row r="114" spans="1:12" s="6" customFormat="1" x14ac:dyDescent="0.25">
      <c r="A114" s="1">
        <v>2.8</v>
      </c>
      <c r="B114" s="1" t="s">
        <v>218</v>
      </c>
      <c r="C114" s="1">
        <v>49.68</v>
      </c>
      <c r="D114" s="1">
        <v>-1.54</v>
      </c>
      <c r="E114" s="1">
        <v>0</v>
      </c>
      <c r="F114" s="4">
        <v>44087.396089120368</v>
      </c>
      <c r="G114" s="1">
        <f>H114*111</f>
        <v>268.62</v>
      </c>
      <c r="H114" s="1">
        <v>2.42</v>
      </c>
      <c r="I114" s="1">
        <v>37</v>
      </c>
      <c r="J114" s="1" t="s">
        <v>221</v>
      </c>
      <c r="K114" s="1" t="str">
        <f t="shared" si="18"/>
        <v>['2.8 France',49.68,-1.54],</v>
      </c>
      <c r="L114" s="1" t="str">
        <f t="shared" si="19"/>
        <v>[49.68, -1.54,0,'2020-09-13 09:30:22', 2.42, 37, 'M2.8 France','https://www.emsc-csem.org/Earthquake/earthquake.php?id=902222']</v>
      </c>
    </row>
    <row r="115" spans="1:12" s="6" customFormat="1" x14ac:dyDescent="0.25">
      <c r="A115" s="1">
        <v>2.7</v>
      </c>
      <c r="B115" s="1" t="s">
        <v>218</v>
      </c>
      <c r="C115" s="1">
        <v>49.6</v>
      </c>
      <c r="D115" s="1">
        <v>-1.54</v>
      </c>
      <c r="E115" s="1">
        <v>10</v>
      </c>
      <c r="F115" s="4">
        <v>44086.708723379626</v>
      </c>
      <c r="G115" s="1">
        <f t="shared" ref="G115:G116" si="20">H115*111</f>
        <v>268.62</v>
      </c>
      <c r="H115" s="1">
        <v>2.42</v>
      </c>
      <c r="I115" s="1">
        <v>37</v>
      </c>
      <c r="J115" s="12" t="s">
        <v>223</v>
      </c>
      <c r="K115" s="1" t="str">
        <f t="shared" si="18"/>
        <v>['2.7 France',49.6,-1.54],</v>
      </c>
      <c r="L115" s="1" t="str">
        <f t="shared" si="19"/>
        <v>[49.6, -1.54,10,'2020-09-12 17:00:34', 2.42, 37, 'M2.7 France','https://www.emsc-csem.org/Earthquake/earthquake.php?id=902043']</v>
      </c>
    </row>
    <row r="116" spans="1:12" s="6" customFormat="1" x14ac:dyDescent="0.25">
      <c r="A116" s="1">
        <v>2.9</v>
      </c>
      <c r="B116" s="1" t="s">
        <v>218</v>
      </c>
      <c r="C116" s="1">
        <v>49.6</v>
      </c>
      <c r="D116" s="1">
        <v>-1.57</v>
      </c>
      <c r="E116" s="1">
        <v>10</v>
      </c>
      <c r="F116" s="8">
        <v>44086.377693287039</v>
      </c>
      <c r="G116" s="1">
        <f t="shared" si="20"/>
        <v>379.62</v>
      </c>
      <c r="H116" s="1">
        <v>3.42</v>
      </c>
      <c r="I116" s="1">
        <v>37</v>
      </c>
      <c r="J116" s="1" t="s">
        <v>224</v>
      </c>
      <c r="K116" s="1" t="str">
        <f t="shared" ref="K116" si="21">"['" &amp; A116 &amp; " " &amp; B116 &amp; "'," &amp; C116 &amp; "," &amp; D116 &amp; "],"</f>
        <v>['2.9 France',49.6,-1.57],</v>
      </c>
      <c r="L116" s="1" t="str">
        <f t="shared" ref="L116" si="22">"[" &amp; C116 &amp; ", " &amp; D116 &amp; "," &amp; E116 &amp; ",'" &amp; TEXT(F116,"yyyy-mm-dd hh:mm:ss") &amp; "', " &amp; H116 &amp; ", " &amp; I116 &amp; ", 'M" &amp; A116 &amp; " " &amp; B116 &amp; "','" &amp; J116 &amp; "']"</f>
        <v>[49.6, -1.57,10,'2020-09-12 09:03:53', 3.42, 37, 'M2.9 France','https://www.emsc-csem.org/Earthquake/earthquake.php?id=901954']</v>
      </c>
    </row>
    <row r="117" spans="1:12" s="6" customFormat="1" x14ac:dyDescent="0.25">
      <c r="A117" s="1">
        <v>4.5999999999999996</v>
      </c>
      <c r="B117" s="1" t="s">
        <v>61</v>
      </c>
      <c r="C117" s="1">
        <v>-20.7211</v>
      </c>
      <c r="D117" s="1">
        <v>-178.35489999999999</v>
      </c>
      <c r="E117" s="1">
        <v>550.21</v>
      </c>
      <c r="F117" s="4">
        <v>44088.091828124998</v>
      </c>
      <c r="G117" s="1">
        <v>16674.6327533447</v>
      </c>
      <c r="H117" s="1">
        <v>149.99297805399999</v>
      </c>
      <c r="I117" s="1">
        <v>987.89800000000002</v>
      </c>
      <c r="J117" s="1" t="s">
        <v>225</v>
      </c>
      <c r="K117" s="1" t="str">
        <f t="shared" ref="K117" si="23">"['" &amp; A117 &amp; " " &amp; B117 &amp; "'," &amp; C117 &amp; "," &amp; D117 &amp; "],"</f>
        <v>['4.6 Fiji region',-20.7211,-178.3549],</v>
      </c>
      <c r="L117" s="1" t="str">
        <f t="shared" ref="L117" si="24">"[" &amp; C117 &amp; ", " &amp; D117 &amp; "," &amp; E117 &amp; ",'" &amp; TEXT(F117,"yyyy-mm-dd hh:mm:ss") &amp; "', " &amp; H117 &amp; ", " &amp; I117 &amp; ", 'M" &amp; A117 &amp; " " &amp; B117 &amp; "','" &amp; J117 &amp; "']"</f>
        <v>[-20.7211, -178.3549,550.21,'2020-09-14 02:12:14', 149.992978054, 987.898, 'M4.6 Fiji region','https://earthquake.usgs.gov/earthquakes/eventpage/us7000bmuy/executive']</v>
      </c>
    </row>
    <row r="118" spans="1:12" s="6" customFormat="1" x14ac:dyDescent="0.25">
      <c r="A118" s="1">
        <v>6.4</v>
      </c>
      <c r="B118" s="1" t="s">
        <v>226</v>
      </c>
      <c r="C118" s="1">
        <v>55.956899999999997</v>
      </c>
      <c r="D118" s="1">
        <v>158.49359999999999</v>
      </c>
      <c r="E118" s="1">
        <v>329.73</v>
      </c>
      <c r="F118" s="4">
        <v>44089.15378847222</v>
      </c>
      <c r="G118" s="1">
        <v>8136.5400304512796</v>
      </c>
      <c r="H118" s="1">
        <v>72.941473844699999</v>
      </c>
      <c r="I118" s="1">
        <v>653.928</v>
      </c>
      <c r="J118" s="1" t="s">
        <v>227</v>
      </c>
      <c r="K118" s="1" t="str">
        <f t="shared" ref="K118" si="25">"['" &amp; A118 &amp; " " &amp; B118 &amp; "'," &amp; C118 &amp; "," &amp; D118 &amp; "],"</f>
        <v>['6.4 13 km WNW of Esso, Russia',55.9569,158.4936],</v>
      </c>
      <c r="L118" s="1" t="str">
        <f t="shared" ref="L118" si="26">"[" &amp; C118 &amp; ", " &amp; D118 &amp; "," &amp; E118 &amp; ",'" &amp; TEXT(F118,"yyyy-mm-dd hh:mm:ss") &amp; "', " &amp; H118 &amp; ", " &amp; I118 &amp; ", 'M" &amp; A118 &amp; " " &amp; B118 &amp; "','" &amp; J118 &amp; "']"</f>
        <v>[55.9569, 158.4936,329.73,'2020-09-15 03:41:27', 72.9414738447, 653.928, 'M6.4 13 km WNW of Esso, Russia','https://earthquake.usgs.gov/earthquakes/eventpage/us7000bnd1/executive']</v>
      </c>
    </row>
    <row r="119" spans="1:12" s="6" customFormat="1" x14ac:dyDescent="0.25">
      <c r="A119" s="1">
        <v>4.8</v>
      </c>
      <c r="B119" s="1" t="s">
        <v>228</v>
      </c>
      <c r="C119" s="1">
        <v>-3.4104000000000001</v>
      </c>
      <c r="D119" s="1">
        <v>-80.306600000000003</v>
      </c>
      <c r="E119" s="1">
        <v>51.16</v>
      </c>
      <c r="F119" s="11">
        <v>44089.280670312502</v>
      </c>
      <c r="G119" s="1">
        <v>9248.5151340026405</v>
      </c>
      <c r="H119" s="1">
        <v>83.213067473400002</v>
      </c>
      <c r="I119" s="1">
        <v>740.79</v>
      </c>
      <c r="J119" s="1" t="s">
        <v>229</v>
      </c>
      <c r="K119" s="1" t="str">
        <f t="shared" ref="K119" si="27">"['" &amp; A119 &amp; " " &amp; B119 &amp; "'," &amp; C119 &amp; "," &amp; D119 &amp; "],"</f>
        <v>['4.8 10 km NW of Aguas Verdes, Peru',-3.4104,-80.3066],</v>
      </c>
      <c r="L119" s="1" t="str">
        <f t="shared" ref="L119" si="28">"[" &amp; C119 &amp; ", " &amp; D119 &amp; "," &amp; E119 &amp; ",'" &amp; TEXT(F119,"yyyy-mm-dd hh:mm:ss") &amp; "', " &amp; H119 &amp; ", " &amp; I119 &amp; ", 'M" &amp; A119 &amp; " " &amp; B119 &amp; "','" &amp; J119 &amp; "']"</f>
        <v>[-3.4104, -80.3066,51.16,'2020-09-15 06:44:10', 83.2130674734, 740.79, 'M4.8 10 km NW of Aguas Verdes, Peru','https://earthquake.usgs.gov/earthquakes/eventpage/us7000bnff/executive']</v>
      </c>
    </row>
    <row r="120" spans="1:12" s="6" customFormat="1" x14ac:dyDescent="0.25">
      <c r="A120" s="1">
        <v>5.3</v>
      </c>
      <c r="B120" s="1" t="s">
        <v>230</v>
      </c>
      <c r="C120" s="1">
        <v>27.871300000000002</v>
      </c>
      <c r="D120" s="1">
        <v>85.887699999999995</v>
      </c>
      <c r="E120" s="1">
        <v>10</v>
      </c>
      <c r="F120" s="11">
        <v>44089.981985081016</v>
      </c>
      <c r="G120" s="1">
        <v>7752.9200663170996</v>
      </c>
      <c r="H120" s="1">
        <v>69.585676918499999</v>
      </c>
      <c r="I120" s="1">
        <v>669.22900000000004</v>
      </c>
      <c r="J120" s="1" t="s">
        <v>231</v>
      </c>
      <c r="K120" s="1" t="str">
        <f t="shared" ref="K120" si="29">"['" &amp; A120 &amp; " " &amp; B120 &amp; "'," &amp; C120 &amp; "," &amp; D120 &amp; "],"</f>
        <v>['5.3 11 km SW of Kodāri̇̄, Nepal',27.8713,85.8877],</v>
      </c>
      <c r="L120" s="1" t="str">
        <f t="shared" ref="L120" si="30">"[" &amp; C120 &amp; ", " &amp; D120 &amp; "," &amp; E120 &amp; ",'" &amp; TEXT(F120,"yyyy-mm-dd hh:mm:ss") &amp; "', " &amp; H120 &amp; ", " &amp; I120 &amp; ", 'M" &amp; A120 &amp; " " &amp; B120 &amp; "','" &amp; J120 &amp; "']"</f>
        <v>[27.8713, 85.8877,10,'2020-09-15 23:34:04', 69.5856769185, 669.229, 'M5.3 11 km SW of Kodāri̇̄, Nepal','https://earthquake.usgs.gov/earthquakes/eventpage/us7000bnsh/executive']</v>
      </c>
    </row>
    <row r="121" spans="1:12" s="6" customFormat="1" x14ac:dyDescent="0.25">
      <c r="A121" s="1">
        <v>3.5</v>
      </c>
      <c r="B121" s="1" t="s">
        <v>218</v>
      </c>
      <c r="C121" s="13">
        <v>49.01</v>
      </c>
      <c r="D121" s="13">
        <v>-1.64</v>
      </c>
      <c r="E121" s="1">
        <v>8</v>
      </c>
      <c r="F121" s="8">
        <v>44090.110815972221</v>
      </c>
      <c r="G121" s="1">
        <v>290</v>
      </c>
      <c r="H121" s="1">
        <v>2.6</v>
      </c>
      <c r="I121" s="1">
        <v>42</v>
      </c>
      <c r="J121" s="1" t="s">
        <v>233</v>
      </c>
      <c r="K121" s="1" t="str">
        <f t="shared" ref="K121:K122" si="31">"['" &amp; A121 &amp; " " &amp; B121 &amp; "'," &amp; C121 &amp; "," &amp; D121 &amp; "],"</f>
        <v>['3.5 France',49.01,-1.64],</v>
      </c>
      <c r="L121" s="1" t="str">
        <f t="shared" ref="L121:L122" si="32">"[" &amp; C121 &amp; ", " &amp; D121 &amp; "," &amp; E121 &amp; ",'" &amp; TEXT(F121,"yyyy-mm-dd hh:mm:ss") &amp; "', " &amp; H121 &amp; ", " &amp; I121 &amp; ", 'M" &amp; A121 &amp; " " &amp; B121 &amp; "','" &amp; J121 &amp; "']"</f>
        <v>[49.01, -1.64,8,'2020-09-16 02:39:34', 2.6, 42, 'M3.5 France','https://www.emsc-csem.org/Earthquake/earthquake.php?id=902915']</v>
      </c>
    </row>
    <row r="122" spans="1:12" s="6" customFormat="1" x14ac:dyDescent="0.25">
      <c r="A122" s="1">
        <v>5.6</v>
      </c>
      <c r="B122" s="1" t="s">
        <v>126</v>
      </c>
      <c r="C122" s="1">
        <v>-22.325700000000001</v>
      </c>
      <c r="D122" s="1">
        <v>171.49959999999999</v>
      </c>
      <c r="E122" s="1">
        <v>118.79</v>
      </c>
      <c r="F122" s="11">
        <v>44090.364242962962</v>
      </c>
      <c r="G122" s="1">
        <v>16893.0387198389</v>
      </c>
      <c r="H122" s="1">
        <v>151.96603819699999</v>
      </c>
      <c r="I122" s="1">
        <v>1041.9880000000001</v>
      </c>
      <c r="J122" s="1" t="s">
        <v>232</v>
      </c>
      <c r="K122" s="1" t="str">
        <f t="shared" si="31"/>
        <v>['5.6 southeast of the Loyalty Islands',-22.3257,171.4996],</v>
      </c>
      <c r="L122" s="1" t="str">
        <f t="shared" si="32"/>
        <v>[-22.3257, 171.4996,118.79,'2020-09-16 08:44:31', 151.966038197, 1041.988, 'M5.6 southeast of the Loyalty Islands','https://earthquake.usgs.gov/earthquakes/eventpage/us7000bnvp/executive']</v>
      </c>
    </row>
    <row r="123" spans="1:12" s="6" customFormat="1" x14ac:dyDescent="0.25">
      <c r="A123" s="1">
        <v>5.7</v>
      </c>
      <c r="B123" s="1" t="s">
        <v>131</v>
      </c>
      <c r="C123" s="1">
        <v>7.9762000000000004</v>
      </c>
      <c r="D123" s="1">
        <v>-37.014200000000002</v>
      </c>
      <c r="E123" s="1">
        <v>10</v>
      </c>
      <c r="F123" s="11">
        <v>44091.12518333333</v>
      </c>
      <c r="G123" s="1">
        <v>5534.0507454378403</v>
      </c>
      <c r="H123" s="1">
        <v>49.8486856313</v>
      </c>
      <c r="I123" s="1">
        <v>533.14800000000002</v>
      </c>
      <c r="J123" s="1" t="s">
        <v>234</v>
      </c>
      <c r="K123" s="1" t="str">
        <f t="shared" ref="K123:K124" si="33">"['" &amp; A123 &amp; " " &amp; B123 &amp; "'," &amp; C123 &amp; "," &amp; D123 &amp; "],"</f>
        <v>['5.7 central Mid-Atlantic Ridge',7.9762,-37.0142],</v>
      </c>
      <c r="L123" s="1" t="str">
        <f t="shared" ref="L123:L124" si="34">"[" &amp; C123 &amp; ", " &amp; D123 &amp; "," &amp; E123 &amp; ",'" &amp; TEXT(F123,"yyyy-mm-dd hh:mm:ss") &amp; "', " &amp; H123 &amp; ", " &amp; I123 &amp; ", 'M" &amp; A123 &amp; " " &amp; B123 &amp; "','" &amp; J123 &amp; "']"</f>
        <v>[7.9762, -37.0142,10,'2020-09-17 03:00:16', 49.8486856313, 533.148, 'M5.7 central Mid-Atlantic Ridge','https://earthquake.usgs.gov/earthquakes/eventpage/us7000bp8n/executive']</v>
      </c>
    </row>
    <row r="124" spans="1:12" s="6" customFormat="1" x14ac:dyDescent="0.25">
      <c r="A124" s="1">
        <v>5.2</v>
      </c>
      <c r="B124" s="1" t="s">
        <v>235</v>
      </c>
      <c r="C124" s="1">
        <v>15.234400000000001</v>
      </c>
      <c r="D124" s="1">
        <v>-92.386600000000001</v>
      </c>
      <c r="E124" s="1">
        <v>91.29</v>
      </c>
      <c r="F124" s="11">
        <v>44091.051386620369</v>
      </c>
      <c r="G124" s="1">
        <v>8524.5420905055307</v>
      </c>
      <c r="H124" s="1">
        <v>76.579708242799995</v>
      </c>
      <c r="I124" s="1">
        <v>700.43399999999997</v>
      </c>
      <c r="J124" s="1" t="s">
        <v>236</v>
      </c>
      <c r="K124" s="1" t="str">
        <f t="shared" si="33"/>
        <v>['5.2 7 km S of Belisario Domínguez, Mexico',15.2344,-92.3866],</v>
      </c>
      <c r="L124" s="1" t="str">
        <f t="shared" si="34"/>
        <v>[15.2344, -92.3866,91.29,'2020-09-17 01:14:00', 76.5797082428, 700.434, 'M5.2 7 km S of Belisario Domínguez, Mexico','https://earthquake.usgs.gov/earthquakes/eventpage/us7000bp7s/executive']</v>
      </c>
    </row>
    <row r="125" spans="1:12" s="6" customFormat="1" x14ac:dyDescent="0.25">
      <c r="A125" s="1">
        <v>5.6</v>
      </c>
      <c r="B125" s="1" t="s">
        <v>237</v>
      </c>
      <c r="C125" s="1">
        <v>-16.508900000000001</v>
      </c>
      <c r="D125" s="1">
        <v>-177.27590000000001</v>
      </c>
      <c r="E125" s="1">
        <v>10</v>
      </c>
      <c r="F125" s="11">
        <v>44091.709398171297</v>
      </c>
      <c r="G125" s="1">
        <v>16196.462403137501</v>
      </c>
      <c r="H125" s="1">
        <v>145.67356917800001</v>
      </c>
      <c r="I125" s="1">
        <v>1027.8109999999999</v>
      </c>
      <c r="J125" s="1" t="s">
        <v>238</v>
      </c>
      <c r="K125" s="1" t="str">
        <f t="shared" ref="K125" si="35">"['" &amp; A125 &amp; " " &amp; B125 &amp; "'," &amp; C125 &amp; "," &amp; D125 &amp; "],"</f>
        <v>['5.6 259 km SSE of Alo, Wallis and Futuna',-16.5089,-177.2759],</v>
      </c>
      <c r="L125" s="1" t="str">
        <f t="shared" ref="L125" si="36">"[" &amp; C125 &amp; ", " &amp; D125 &amp; "," &amp; E125 &amp; ",'" &amp; TEXT(F125,"yyyy-mm-dd hh:mm:ss") &amp; "', " &amp; H125 &amp; ", " &amp; I125 &amp; ", 'M" &amp; A125 &amp; " " &amp; B125 &amp; "','" &amp; J125 &amp; "']"</f>
        <v>[-16.5089, -177.2759,10,'2020-09-17 17:01:32', 145.673569178, 1027.811, 'M5.6 259 km SSE of Alo, Wallis and Futuna','https://earthquake.usgs.gov/earthquakes/eventpage/us7000bphn/executive']</v>
      </c>
    </row>
    <row r="126" spans="1:12" s="6" customFormat="1" x14ac:dyDescent="0.25">
      <c r="A126" s="1">
        <v>6.9</v>
      </c>
      <c r="B126" s="1" t="s">
        <v>131</v>
      </c>
      <c r="C126" s="1">
        <v>0.94540000000000002</v>
      </c>
      <c r="D126" s="1">
        <v>-26.849499999999999</v>
      </c>
      <c r="E126" s="1">
        <v>10</v>
      </c>
      <c r="F126" s="11">
        <v>44092.905549166666</v>
      </c>
      <c r="G126" s="1">
        <v>5835.9776941422297</v>
      </c>
      <c r="H126" s="1">
        <v>52.626785347899997</v>
      </c>
      <c r="I126" s="1">
        <v>554.01199999999994</v>
      </c>
      <c r="J126" s="1" t="s">
        <v>240</v>
      </c>
      <c r="K126" s="1" t="str">
        <f t="shared" ref="K126" si="37">"['" &amp; A126 &amp; " " &amp; B126 &amp; "'," &amp; C126 &amp; "," &amp; D126 &amp; "],"</f>
        <v>['6.9 central Mid-Atlantic Ridge',0.9454,-26.8495],</v>
      </c>
      <c r="L126" s="1" t="str">
        <f t="shared" ref="L126" si="38">"[" &amp; C126 &amp; ", " &amp; D126 &amp; "," &amp; E126 &amp; ",'" &amp; TEXT(F126,"yyyy-mm-dd hh:mm:ss") &amp; "', " &amp; H126 &amp; ", " &amp; I126 &amp; ", 'M" &amp; A126 &amp; " " &amp; B126 &amp; "','" &amp; J126 &amp; "']"</f>
        <v>[0.9454, -26.8495,10,'2020-09-18 21:43:59', 52.6267853479, 554.012, 'M6.9 central Mid-Atlantic Ridge','https://earthquake.usgs.gov/earthquakes/eventpage/us7000bq10/executive']</v>
      </c>
    </row>
    <row r="127" spans="1:12" s="6" customFormat="1" x14ac:dyDescent="0.25">
      <c r="A127" s="1">
        <v>5.9</v>
      </c>
      <c r="B127" s="1" t="s">
        <v>241</v>
      </c>
      <c r="C127" s="14">
        <v>34.997199999999999</v>
      </c>
      <c r="D127" s="1">
        <v>25.331299999999999</v>
      </c>
      <c r="E127" s="1">
        <v>44.49</v>
      </c>
      <c r="F127" s="15">
        <v>44092.686313240738</v>
      </c>
      <c r="G127" s="1">
        <v>2988.9411527021598</v>
      </c>
      <c r="H127" s="1">
        <v>26.8405776942</v>
      </c>
      <c r="I127" s="1">
        <v>336.197</v>
      </c>
      <c r="J127" s="1" t="s">
        <v>239</v>
      </c>
      <c r="K127" s="1" t="str">
        <f t="shared" ref="K127" si="39">"['" &amp; A127 &amp; " " &amp; B127 &amp; "'," &amp; C127 &amp; "," &amp; D127 &amp; "],"</f>
        <v>['5.9 16 km E of Pýrgos, Greece',34.9972,25.3313],</v>
      </c>
      <c r="L127" s="1" t="str">
        <f t="shared" ref="L127" si="40">"[" &amp; C127 &amp; ", " &amp; D127 &amp; "," &amp; E127 &amp; ",'" &amp; TEXT(F127,"yyyy-mm-dd hh:mm:ss") &amp; "', " &amp; H127 &amp; ", " &amp; I127 &amp; ", 'M" &amp; A127 &amp; " " &amp; B127 &amp; "','" &amp; J127 &amp; "']"</f>
        <v>[34.9972, 25.3313,44.49,'2020-09-18 16:28:17', 26.8405776942, 336.197, 'M5.9 16 km E of Pýrgos, Greece','https://earthquake.usgs.gov/earthquakes/eventpage/us7000bpvt/executive']</v>
      </c>
    </row>
    <row r="128" spans="1:12" s="6" customFormat="1" x14ac:dyDescent="0.25">
      <c r="A128" s="1">
        <v>4.9000000000000004</v>
      </c>
      <c r="B128" s="1" t="s">
        <v>127</v>
      </c>
      <c r="C128" s="1">
        <v>-6.8616999999999999</v>
      </c>
      <c r="D128" s="1">
        <v>129.3913</v>
      </c>
      <c r="E128" s="1">
        <v>173.94</v>
      </c>
      <c r="F128" s="11">
        <v>44096.054912337961</v>
      </c>
      <c r="G128" s="1">
        <v>13627.3384838776</v>
      </c>
      <c r="H128" s="1">
        <v>122.514105019</v>
      </c>
      <c r="I128" s="1">
        <v>904.84799999999996</v>
      </c>
      <c r="J128" s="1" t="s">
        <v>242</v>
      </c>
      <c r="K128" s="1" t="str">
        <f t="shared" ref="K128:K129" si="41">"['" &amp; A128 &amp; " " &amp; B128 &amp; "'," &amp; C128 &amp; "," &amp; D128 &amp; "],"</f>
        <v>['4.9 Banda Sea',-6.8617,129.3913],</v>
      </c>
      <c r="L128" s="1" t="str">
        <f t="shared" ref="L128:L129" si="42">"[" &amp; C128 &amp; ", " &amp; D128 &amp; "," &amp; E128 &amp; ",'" &amp; TEXT(F128,"yyyy-mm-dd hh:mm:ss") &amp; "', " &amp; H128 &amp; ", " &amp; I128 &amp; ", 'M" &amp; A128 &amp; " " &amp; B128 &amp; "','" &amp; J128 &amp; "']"</f>
        <v>[-6.8617, 129.3913,173.94,'2020-09-22 01:19:04', 122.514105019, 904.848, 'M4.9 Banda Sea','https://earthquake.usgs.gov/earthquakes/eventpage/us6000bzj4/executive']</v>
      </c>
    </row>
    <row r="129" spans="1:12" s="6" customFormat="1" x14ac:dyDescent="0.25">
      <c r="A129" s="1">
        <v>3</v>
      </c>
      <c r="B129" s="1" t="s">
        <v>243</v>
      </c>
      <c r="C129" s="16">
        <v>51.941000000000003</v>
      </c>
      <c r="D129" s="16">
        <v>-0.66200000000000003</v>
      </c>
      <c r="E129" s="1">
        <v>10</v>
      </c>
      <c r="F129" s="17">
        <v>44096.355740740742</v>
      </c>
      <c r="G129" s="1">
        <v>368.91</v>
      </c>
      <c r="H129" s="1">
        <v>3.31</v>
      </c>
      <c r="I129" s="1">
        <v>52</v>
      </c>
      <c r="J129" s="1" t="s">
        <v>244</v>
      </c>
      <c r="K129" s="1" t="str">
        <f t="shared" si="41"/>
        <v>['3 Leighton Buzzard',51.941,-0.662],</v>
      </c>
      <c r="L129" s="1" t="str">
        <f t="shared" si="42"/>
        <v>[51.941, -0.662,10,'2020-09-22 08:32:16', 3.31, 52, 'M3 Leighton Buzzard','https://earthquakes.bgs.ac.uk/earthquakes/recent_events/20200922083201.html']</v>
      </c>
    </row>
    <row r="130" spans="1:12" s="6" customFormat="1" x14ac:dyDescent="0.25">
      <c r="A130" s="1">
        <v>3.5</v>
      </c>
      <c r="B130" s="1" t="s">
        <v>243</v>
      </c>
      <c r="C130" s="16">
        <v>51.926000000000002</v>
      </c>
      <c r="D130" s="16">
        <v>-0.73699999999999999</v>
      </c>
      <c r="E130" s="1">
        <v>10</v>
      </c>
      <c r="F130" s="17">
        <v>44082.364918981482</v>
      </c>
      <c r="G130" s="1">
        <v>366.88</v>
      </c>
      <c r="H130" s="1">
        <v>3.29</v>
      </c>
      <c r="I130" s="1">
        <v>49</v>
      </c>
      <c r="J130" s="1" t="s">
        <v>245</v>
      </c>
      <c r="K130" s="1" t="str">
        <f t="shared" ref="K130" si="43">"['" &amp; A130 &amp; " " &amp; B130 &amp; "'," &amp; C130 &amp; "," &amp; D130 &amp; "],"</f>
        <v>['3.5 Leighton Buzzard',51.926,-0.737],</v>
      </c>
      <c r="L130" s="1" t="str">
        <f t="shared" ref="L130" si="44">"[" &amp; C130 &amp; ", " &amp; D130 &amp; "," &amp; E130 &amp; ",'" &amp; TEXT(F130,"yyyy-mm-dd hh:mm:ss") &amp; "', " &amp; H130 &amp; ", " &amp; I130 &amp; ", 'M" &amp; A130 &amp; " " &amp; B130 &amp; "','" &amp; J130 &amp; "']"</f>
        <v>[51.926, -0.737,10,'2020-09-08 08:45:29', 3.29, 49, 'M3.5 Leighton Buzzard','https://earthquakes.bgs.ac.uk/earthquakes/recent_events/20200908084501.html']</v>
      </c>
    </row>
    <row r="131" spans="1:12" s="6" customFormat="1" x14ac:dyDescent="0.25">
      <c r="A131" s="1">
        <v>5.2</v>
      </c>
      <c r="B131" s="1" t="s">
        <v>250</v>
      </c>
      <c r="C131" s="1">
        <v>52.095300000000002</v>
      </c>
      <c r="D131" s="1">
        <v>-169.76130000000001</v>
      </c>
      <c r="E131" s="1">
        <v>10</v>
      </c>
      <c r="F131" s="11">
        <v>44102.114116064811</v>
      </c>
      <c r="G131" s="1">
        <v>8569.9577354657995</v>
      </c>
      <c r="H131" s="1">
        <v>76.8351850544</v>
      </c>
      <c r="I131" s="1">
        <v>712.077</v>
      </c>
      <c r="J131" s="1" t="s">
        <v>251</v>
      </c>
      <c r="K131" s="1" t="str">
        <f t="shared" ref="K131" si="45">"['" &amp; A131 &amp; " " &amp; B131 &amp; "'," &amp; C131 &amp; "," &amp; D131 &amp; "],"</f>
        <v>['5.2 112 km SSW of Nikolski, Alaska',52.0953,-169.7613],</v>
      </c>
      <c r="L131" s="1" t="str">
        <f t="shared" ref="L131" si="46">"[" &amp; C131 &amp; ", " &amp; D131 &amp; "," &amp; E131 &amp; ",'" &amp; TEXT(F131,"yyyy-mm-dd hh:mm:ss") &amp; "', " &amp; H131 &amp; ", " &amp; I131 &amp; ", 'M" &amp; A131 &amp; " " &amp; B131 &amp; "','" &amp; J131 &amp; "']"</f>
        <v>[52.0953, -169.7613,10,'2020-09-28 02:44:20', 76.8351850544, 712.077, 'M5.2 112 km SSW of Nikolski, Alaska','https://earthquake.usgs.gov/earthquakes/eventpage/us6000c20q/executive']</v>
      </c>
    </row>
    <row r="132" spans="1:12" s="6" customFormat="1" x14ac:dyDescent="0.25">
      <c r="A132" s="1">
        <v>6.4</v>
      </c>
      <c r="B132" s="1" t="s">
        <v>252</v>
      </c>
      <c r="C132" s="1">
        <v>-19.495000000000001</v>
      </c>
      <c r="D132" s="1">
        <v>-174.22540000000001</v>
      </c>
      <c r="E132" s="1">
        <v>35</v>
      </c>
      <c r="F132" s="11">
        <v>44105.051131493055</v>
      </c>
      <c r="G132" s="1">
        <v>16459.123049057001</v>
      </c>
      <c r="H132" s="1">
        <v>148.04602904699999</v>
      </c>
      <c r="I132" s="1">
        <v>1034.4369999999999</v>
      </c>
      <c r="J132" s="1" t="s">
        <v>253</v>
      </c>
      <c r="K132" s="1" t="str">
        <f t="shared" ref="K132:K133" si="47">"['" &amp; A132 &amp; " " &amp; B132 &amp; "'," &amp; C132 &amp; "," &amp; D132 &amp; "],"</f>
        <v>['6.4 37 km NNE of Pangai, Tonga',-19.495,-174.2254],</v>
      </c>
      <c r="L132" s="1" t="str">
        <f t="shared" ref="L132:L133" si="48">"[" &amp; C132 &amp; ", " &amp; D132 &amp; "," &amp; E132 &amp; ",'" &amp; TEXT(F132,"yyyy-mm-dd hh:mm:ss") &amp; "', " &amp; H132 &amp; ", " &amp; I132 &amp; ", 'M" &amp; A132 &amp; " " &amp; B132 &amp; "','" &amp; J132 &amp; "']"</f>
        <v>[-19.495, -174.2254,35,'2020-10-01 01:13:38', 148.046029047, 1034.437, 'M6.4 37 km NNE of Pangai, Tonga','https://earthquake.usgs.gov/earthquakes/eventpage/us6000c3kz/executive']</v>
      </c>
    </row>
    <row r="133" spans="1:12" s="6" customFormat="1" x14ac:dyDescent="0.25">
      <c r="A133" s="1">
        <v>4.5</v>
      </c>
      <c r="B133" s="1" t="s">
        <v>254</v>
      </c>
      <c r="C133" s="1">
        <v>42.835999999999999</v>
      </c>
      <c r="D133" s="1">
        <v>-1.5934999999999999</v>
      </c>
      <c r="E133" s="1">
        <v>10</v>
      </c>
      <c r="F133" s="11">
        <v>44104.918414178239</v>
      </c>
      <c r="G133" s="1">
        <v>867.43040424458195</v>
      </c>
      <c r="H133" s="1">
        <v>7.8008421338799998</v>
      </c>
      <c r="I133" s="1">
        <v>113.53700000000001</v>
      </c>
      <c r="J133" s="1" t="s">
        <v>255</v>
      </c>
      <c r="K133" s="1" t="str">
        <f t="shared" si="47"/>
        <v>['4.5 0 km NNW of Huarte-Uharte, Spain',42.836,-1.5935],</v>
      </c>
      <c r="L133" s="1" t="str">
        <f t="shared" si="48"/>
        <v>[42.836, -1.5935,10,'2020-09-30 22:02:31', 7.80084213388, 113.537, 'M4.5 0 km NNW of Huarte-Uharte, Spain','https://earthquake.usgs.gov/earthquakes/eventpage/us6000c3e9/executive']</v>
      </c>
    </row>
    <row r="134" spans="1:12" s="6" customFormat="1" x14ac:dyDescent="0.25">
      <c r="A134" s="1">
        <v>5.0999999999999996</v>
      </c>
      <c r="B134" s="1" t="s">
        <v>256</v>
      </c>
      <c r="C134" s="1">
        <v>36.763300000000001</v>
      </c>
      <c r="D134" s="1">
        <v>26.780999999999999</v>
      </c>
      <c r="E134" s="1">
        <v>151.86000000000001</v>
      </c>
      <c r="F134" s="11">
        <v>44105.462251817131</v>
      </c>
      <c r="G134" s="1">
        <v>2954.0434753089198</v>
      </c>
      <c r="H134" s="1">
        <v>26.5189305914</v>
      </c>
      <c r="I134" s="1">
        <v>323.31400000000002</v>
      </c>
      <c r="J134" s="1" t="s">
        <v>257</v>
      </c>
      <c r="K134" s="1" t="str">
        <f t="shared" ref="K134:K136" si="49">"['" &amp; A134 &amp; " " &amp; B134 &amp; "'," &amp; C134 &amp; "," &amp; D134 &amp; "],"</f>
        <v>['5.1 16 km W of Kéfalos, Greece',36.7633,26.781],</v>
      </c>
      <c r="L134" s="1" t="str">
        <f t="shared" ref="L134:L136" si="50">"[" &amp; C134 &amp; ", " &amp; D134 &amp; "," &amp; E134 &amp; ",'" &amp; TEXT(F134,"yyyy-mm-dd hh:mm:ss") &amp; "', " &amp; H134 &amp; ", " &amp; I134 &amp; ", 'M" &amp; A134 &amp; " " &amp; B134 &amp; "','" &amp; J134 &amp; "']"</f>
        <v>[36.7633, 26.781,151.86,'2020-10-01 11:05:39', 26.5189305914, 323.314, 'M5.1 16 km W of Kéfalos, Greece','https://earthquake.usgs.gov/earthquakes/eventpage/us6000c3tv/executive']</v>
      </c>
    </row>
    <row r="135" spans="1:12" s="6" customFormat="1" x14ac:dyDescent="0.25">
      <c r="A135" s="1">
        <v>5.3</v>
      </c>
      <c r="B135" s="1" t="s">
        <v>258</v>
      </c>
      <c r="C135" s="1">
        <v>51.732599999999998</v>
      </c>
      <c r="D135" s="1">
        <v>-174.93950000000001</v>
      </c>
      <c r="E135" s="1">
        <v>45.64</v>
      </c>
      <c r="F135" s="11">
        <v>44105.43412820602</v>
      </c>
      <c r="G135" s="1">
        <v>8661.7144403352795</v>
      </c>
      <c r="H135" s="1">
        <v>77.6589043476</v>
      </c>
      <c r="I135" s="1">
        <v>711.65899999999999</v>
      </c>
      <c r="J135" s="1" t="s">
        <v>259</v>
      </c>
      <c r="K135" s="1" t="str">
        <f t="shared" si="49"/>
        <v>['5.3 72 km SW of Atka, Alaska',51.7326,-174.9395],</v>
      </c>
      <c r="L135" s="1" t="str">
        <f t="shared" si="50"/>
        <v>[51.7326, -174.9395,45.64,'2020-10-01 10:25:09', 77.6589043476, 711.659, 'M5.3 72 km SW of Atka, Alaska','https://earthquake.usgs.gov/earthquakes/eventpage/us6000c3t7/executive']</v>
      </c>
    </row>
    <row r="136" spans="1:12" s="6" customFormat="1" x14ac:dyDescent="0.25">
      <c r="A136" s="1">
        <v>3.9</v>
      </c>
      <c r="B136" s="13" t="s">
        <v>260</v>
      </c>
      <c r="C136" s="13">
        <v>42.83</v>
      </c>
      <c r="D136" s="1">
        <v>-1.49</v>
      </c>
      <c r="E136" s="1">
        <v>2</v>
      </c>
      <c r="F136" s="8">
        <v>44104.984386574077</v>
      </c>
      <c r="G136" s="1">
        <v>867.43040424458195</v>
      </c>
      <c r="H136" s="1">
        <v>7.8008421338799998</v>
      </c>
      <c r="I136" s="1">
        <v>113.53700000000001</v>
      </c>
      <c r="J136" s="1" t="s">
        <v>261</v>
      </c>
      <c r="K136" s="1" t="str">
        <f t="shared" si="49"/>
        <v>['3.9 PYRENEES',42.83,-1.49],</v>
      </c>
      <c r="L136" s="1" t="str">
        <f t="shared" si="50"/>
        <v>[42.83, -1.49,2,'2020-09-30 23:37:31', 7.80084213388, 113.537, 'M3.9 PYRENEES','https://www.emsc-csem.org/Earthquake/earthquake.php?id=907096']</v>
      </c>
    </row>
    <row r="137" spans="1:12" s="6" customFormat="1" x14ac:dyDescent="0.25">
      <c r="A137" s="1">
        <v>5.3</v>
      </c>
      <c r="B137" s="1" t="s">
        <v>262</v>
      </c>
      <c r="C137" s="1">
        <v>69.290199999999999</v>
      </c>
      <c r="D137" s="1">
        <v>-29.783899999999999</v>
      </c>
      <c r="E137" s="1">
        <v>10</v>
      </c>
      <c r="F137" s="11">
        <v>44107.557497118054</v>
      </c>
      <c r="G137" s="1">
        <v>2494.1413693337099</v>
      </c>
      <c r="H137" s="1">
        <v>22.377979257100002</v>
      </c>
      <c r="I137" s="1">
        <v>298.303</v>
      </c>
      <c r="J137" s="1" t="s">
        <v>263</v>
      </c>
      <c r="K137" s="1" t="str">
        <f t="shared" ref="K137" si="51">"['" &amp; A137 &amp; " " &amp; B137 &amp; "'," &amp; C137 &amp; "," &amp; D137 &amp; "],"</f>
        <v>['5.3 eastern Greenland',69.2902,-29.7839],</v>
      </c>
      <c r="L137" s="1" t="str">
        <f t="shared" ref="L137" si="52">"[" &amp; C137 &amp; ", " &amp; D137 &amp; "," &amp; E137 &amp; ",'" &amp; TEXT(F137,"yyyy-mm-dd hh:mm:ss") &amp; "', " &amp; H137 &amp; ", " &amp; I137 &amp; ", 'M" &amp; A137 &amp; " " &amp; B137 &amp; "','" &amp; J137 &amp; "']"</f>
        <v>[69.2902, -29.7839,10,'2020-10-03 13:22:48', 22.3779792571, 298.303, 'M5.3 eastern Greenland','https://earthquake.usgs.gov/earthquakes/eventpage/us6000c56t/executive']</v>
      </c>
    </row>
    <row r="138" spans="1:12" s="9" customFormat="1" x14ac:dyDescent="0.25">
      <c r="A138" s="9">
        <v>6</v>
      </c>
      <c r="B138" s="9" t="s">
        <v>264</v>
      </c>
      <c r="C138" s="9">
        <v>-18.024899999999999</v>
      </c>
      <c r="D138" s="9">
        <v>-178.4906</v>
      </c>
      <c r="E138" s="9">
        <v>628.52</v>
      </c>
      <c r="F138" s="10">
        <v>44110.424841446758</v>
      </c>
      <c r="G138" s="9">
        <v>16381.331467019399</v>
      </c>
      <c r="H138" s="9">
        <v>147.34378869899999</v>
      </c>
      <c r="I138" s="9">
        <v>969.07299999999998</v>
      </c>
      <c r="J138" s="9" t="s">
        <v>265</v>
      </c>
      <c r="K138" s="1" t="str">
        <f t="shared" ref="K138:K139" si="53">"['" &amp; A138 &amp; " " &amp; B138 &amp; "'," &amp; C138 &amp; "," &amp; D138 &amp; "],"</f>
        <v>['6 232 km E of Levuka, Fiji',-18.0249,-178.4906],</v>
      </c>
      <c r="L138" s="1" t="str">
        <f t="shared" ref="L138:L139" si="54">"[" &amp; C138 &amp; ", " &amp; D138 &amp; "," &amp; E138 &amp; ",'" &amp; TEXT(F138,"yyyy-mm-dd hh:mm:ss") &amp; "', " &amp; H138 &amp; ", " &amp; I138 &amp; ", 'M" &amp; A138 &amp; " " &amp; B138 &amp; "','" &amp; J138 &amp; "']"</f>
        <v>[-18.0249, -178.4906,628.52,'2020-10-06 10:11:46', 147.343788699, 969.073, 'M6 232 km E of Levuka, Fiji','https://earthquake.usgs.gov/earthquakes/eventpage/us6000c617/executive']</v>
      </c>
    </row>
    <row r="139" spans="1:12" x14ac:dyDescent="0.25">
      <c r="A139" s="1">
        <v>5.9</v>
      </c>
      <c r="B139" s="1" t="s">
        <v>266</v>
      </c>
      <c r="C139" s="1">
        <v>54.8444</v>
      </c>
      <c r="D139" s="1">
        <v>-159.85980000000001</v>
      </c>
      <c r="E139" s="1">
        <v>30.42</v>
      </c>
      <c r="F139" s="11">
        <v>44110.246418055554</v>
      </c>
      <c r="G139" s="1">
        <v>8121.2775092464299</v>
      </c>
      <c r="H139" s="1">
        <v>72.806353964099998</v>
      </c>
      <c r="I139" s="1">
        <v>685.60299999999995</v>
      </c>
      <c r="J139" s="1" t="s">
        <v>267</v>
      </c>
      <c r="K139" s="1" t="str">
        <f t="shared" si="53"/>
        <v>['5.9 68 km SE of Sand Point, Alaska',54.8444,-159.8598],</v>
      </c>
      <c r="L139" s="1" t="str">
        <f t="shared" si="54"/>
        <v>[54.8444, -159.8598,30.42,'2020-10-06 05:54:51', 72.8063539641, 685.603, 'M5.9 68 km SE of Sand Point, Alaska','https://earthquake.usgs.gov/earthquakes/eventpage/us6000c5zm/executive']</v>
      </c>
    </row>
    <row r="140" spans="1:12" x14ac:dyDescent="0.25">
      <c r="A140" s="1">
        <v>5.7</v>
      </c>
      <c r="B140" s="1" t="s">
        <v>268</v>
      </c>
      <c r="C140" s="1">
        <v>52.718400000000003</v>
      </c>
      <c r="D140" s="1">
        <v>-168.25579999999999</v>
      </c>
      <c r="E140" s="1">
        <v>36.99</v>
      </c>
      <c r="F140" s="11">
        <v>44112.599068518517</v>
      </c>
      <c r="G140" s="1">
        <v>8483.0321178375907</v>
      </c>
      <c r="H140" s="1">
        <v>76.054350728200006</v>
      </c>
      <c r="I140" s="1">
        <v>703.60299999999995</v>
      </c>
      <c r="J140" s="1" t="s">
        <v>269</v>
      </c>
      <c r="K140" s="1" t="str">
        <f t="shared" ref="K140" si="55">"['" &amp; A140 &amp; " " &amp; B140 &amp; "'," &amp; C140 &amp; "," &amp; D140 &amp; "],"</f>
        <v>['5.7 47 km ESE of Nikolski, Alaska',52.7184,-168.2558],</v>
      </c>
      <c r="L140" s="1" t="str">
        <f t="shared" ref="L140" si="56">"[" &amp; C140 &amp; ", " &amp; D140 &amp; "," &amp; E140 &amp; ",'" &amp; TEXT(F140,"yyyy-mm-dd hh:mm:ss") &amp; "', " &amp; H140 &amp; ", " &amp; I140 &amp; ", 'M" &amp; A140 &amp; " " &amp; B140 &amp; "','" &amp; J140 &amp; "']"</f>
        <v>[52.7184, -168.2558,36.99,'2020-10-08 14:22:40', 76.0543507282, 703.603, 'M5.7 47 km ESE of Nikolski, Alaska','https://earthquake.usgs.gov/earthquakes/eventpage/us6000c6rg/executive']</v>
      </c>
    </row>
    <row r="141" spans="1:12" x14ac:dyDescent="0.25">
      <c r="A141" s="1">
        <v>5.2</v>
      </c>
      <c r="B141" s="1" t="s">
        <v>270</v>
      </c>
      <c r="C141" s="1">
        <v>-17.189699999999998</v>
      </c>
      <c r="D141" s="1">
        <v>167.42349999999999</v>
      </c>
      <c r="E141" s="1">
        <v>10</v>
      </c>
      <c r="F141" s="11">
        <v>44113.890548518517</v>
      </c>
      <c r="G141" s="1">
        <v>16279.203060010999</v>
      </c>
      <c r="H141" s="1">
        <v>146.42111183599999</v>
      </c>
      <c r="I141" s="1">
        <v>1031.1289999999999</v>
      </c>
      <c r="J141" s="1" t="s">
        <v>271</v>
      </c>
      <c r="K141" s="1" t="str">
        <f t="shared" ref="K141" si="57">"['" &amp; A141 &amp; " " &amp; B141 &amp; "'," &amp; C141 &amp; "," &amp; D141 &amp; "],"</f>
        <v>['5.2 112 km WNW of Port-Vila, Vanuatu',-17.1897,167.4235],</v>
      </c>
      <c r="L141" s="1" t="str">
        <f t="shared" ref="L141" si="58">"[" &amp; C141 &amp; ", " &amp; D141 &amp; "," &amp; E141 &amp; ",'" &amp; TEXT(F141,"yyyy-mm-dd hh:mm:ss") &amp; "', " &amp; H141 &amp; ", " &amp; I141 &amp; ", 'M" &amp; A141 &amp; " " &amp; B141 &amp; "','" &amp; J141 &amp; "']"</f>
        <v>[-17.1897, 167.4235,10,'2020-10-09 21:22:23', 146.421111836, 1031.129, 'M5.2 112 km WNW of Port-Vila, Vanuatu','https://earthquake.usgs.gov/earthquakes/eventpage/us6000c760/executive']</v>
      </c>
    </row>
    <row r="142" spans="1:12" x14ac:dyDescent="0.25">
      <c r="A142" s="1">
        <v>4.9000000000000004</v>
      </c>
      <c r="B142" s="1" t="s">
        <v>272</v>
      </c>
      <c r="C142" s="1">
        <v>39.595100000000002</v>
      </c>
      <c r="D142" s="1">
        <v>52.021000000000001</v>
      </c>
      <c r="E142" s="1">
        <v>38.89</v>
      </c>
      <c r="F142" s="11">
        <v>44116.491174502313</v>
      </c>
      <c r="G142" s="1">
        <v>4549.2294633669198</v>
      </c>
      <c r="H142" s="1">
        <v>40.808028061800002</v>
      </c>
      <c r="I142" s="1">
        <v>457.46499999999997</v>
      </c>
      <c r="J142" s="1" t="s">
        <v>273</v>
      </c>
      <c r="K142" s="1" t="str">
        <f t="shared" ref="K142:K144" si="59">"['" &amp; A142 &amp; " " &amp; B142 &amp; "'," &amp; C142 &amp; "," &amp; D142 &amp; "],"</f>
        <v>['4.9 92 km WSW of Türkmenbaşy, Turkmenistan',39.5951,52.021],</v>
      </c>
      <c r="L142" s="1" t="str">
        <f t="shared" ref="L142:L144" si="60">"[" &amp; C142 &amp; ", " &amp; D142 &amp; "," &amp; E142 &amp; ",'" &amp; TEXT(F142,"yyyy-mm-dd hh:mm:ss") &amp; "', " &amp; H142 &amp; ", " &amp; I142 &amp; ", 'M" &amp; A142 &amp; " " &amp; B142 &amp; "','" &amp; J142 &amp; "']"</f>
        <v>[39.5951, 52.021,38.89,'2020-10-12 11:47:17', 40.8080280618, 457.465, 'M4.9 92 km WSW of Türkmenbaşy, Turkmenistan','https://earthquake.usgs.gov/earthquakes/eventpage/us6000c7ra/executive']</v>
      </c>
    </row>
    <row r="143" spans="1:12" x14ac:dyDescent="0.25">
      <c r="A143" s="1">
        <v>5.2</v>
      </c>
      <c r="B143" s="1" t="s">
        <v>274</v>
      </c>
      <c r="C143" s="1">
        <v>35.6143</v>
      </c>
      <c r="D143" s="1">
        <v>26.221499999999999</v>
      </c>
      <c r="E143" s="1">
        <v>10</v>
      </c>
      <c r="F143" s="11">
        <v>44116.174621620368</v>
      </c>
      <c r="G143" s="1">
        <v>3001.0243273883698</v>
      </c>
      <c r="H143" s="1">
        <v>26.945587248399999</v>
      </c>
      <c r="I143" s="1">
        <v>341.51499999999999</v>
      </c>
      <c r="J143" s="1" t="s">
        <v>275</v>
      </c>
      <c r="K143" s="1" t="str">
        <f t="shared" si="59"/>
        <v>['5.2 46 km N of Palekastro, Greece',35.6143,26.2215],</v>
      </c>
      <c r="L143" s="1" t="str">
        <f t="shared" si="60"/>
        <v>[35.6143, 26.2215,10,'2020-10-12 04:11:27', 26.9455872484, 341.515, 'M5.2 46 km N of Palekastro, Greece','https://earthquake.usgs.gov/earthquakes/eventpage/us6000c7nd/executive']</v>
      </c>
    </row>
    <row r="144" spans="1:12" x14ac:dyDescent="0.25">
      <c r="A144" s="1">
        <v>5.0999999999999996</v>
      </c>
      <c r="B144" s="1" t="s">
        <v>276</v>
      </c>
      <c r="C144" s="1">
        <v>35.606099999999998</v>
      </c>
      <c r="D144" s="1">
        <v>26.2682</v>
      </c>
      <c r="E144" s="1">
        <v>10</v>
      </c>
      <c r="F144" s="11">
        <v>44116.021297789353</v>
      </c>
      <c r="G144" s="1">
        <v>3004.7564004952001</v>
      </c>
      <c r="H144" s="1">
        <v>26.979068481900001</v>
      </c>
      <c r="I144" s="1">
        <v>341.81599999999997</v>
      </c>
      <c r="J144" s="1" t="s">
        <v>277</v>
      </c>
      <c r="K144" s="1" t="str">
        <f t="shared" si="59"/>
        <v>['5.1 45 km N of Palekastro, Greece',35.6061,26.2682],</v>
      </c>
      <c r="L144" s="1" t="str">
        <f t="shared" si="60"/>
        <v>[35.6061, 26.2682,10,'2020-10-12 00:30:40', 26.9790684819, 341.816, 'M5.1 45 km N of Palekastro, Greece','https://earthquake.usgs.gov/earthquakes/eventpage/us6000c7m8/executive']</v>
      </c>
    </row>
    <row r="145" spans="1:12" x14ac:dyDescent="0.25">
      <c r="A145" s="1">
        <v>5.9</v>
      </c>
      <c r="B145" s="1" t="s">
        <v>278</v>
      </c>
      <c r="C145" s="1">
        <v>54.424300000000002</v>
      </c>
      <c r="D145" s="1">
        <v>-159.95500000000001</v>
      </c>
      <c r="E145" s="1">
        <v>37.33</v>
      </c>
      <c r="F145" s="11">
        <v>44123.906575868059</v>
      </c>
      <c r="G145" s="1">
        <v>8167.8512353460401</v>
      </c>
      <c r="H145" s="1">
        <v>73.224697536299999</v>
      </c>
      <c r="I145" s="1">
        <v>687.15700000000004</v>
      </c>
      <c r="J145" s="1" t="s">
        <v>279</v>
      </c>
      <c r="K145" s="1" t="str">
        <f t="shared" ref="K145:K147" si="61">"['" &amp; A145 &amp; " " &amp; B145 &amp; "'," &amp; C145 &amp; "," &amp; D145 &amp; "],"</f>
        <v>['5.9 107 km SSE of Sand Point, Alaska',54.4243,-159.955],</v>
      </c>
      <c r="L145" s="1" t="str">
        <f t="shared" ref="L145:L147" si="62">"[" &amp; C145 &amp; ", " &amp; D145 &amp; "," &amp; E145 &amp; ",'" &amp; TEXT(F145,"yyyy-mm-dd hh:mm:ss") &amp; "', " &amp; H145 &amp; ", " &amp; I145 &amp; ", 'M" &amp; A145 &amp; " " &amp; B145 &amp; "','" &amp; J145 &amp; "']"</f>
        <v>[54.4243, -159.955,37.33,'2020-10-19 21:45:28', 73.2246975363, 687.157, 'M5.9 107 km SSE of Sand Point, Alaska','https://earthquake.usgs.gov/earthquakes/eventpage/us6000c9lf/executive']</v>
      </c>
    </row>
    <row r="146" spans="1:12" x14ac:dyDescent="0.25">
      <c r="A146" s="1">
        <v>5.5</v>
      </c>
      <c r="B146" s="1" t="s">
        <v>280</v>
      </c>
      <c r="C146" s="1">
        <v>54.2393</v>
      </c>
      <c r="D146" s="1">
        <v>-159.6532</v>
      </c>
      <c r="E146" s="1">
        <v>15.52</v>
      </c>
      <c r="F146" s="11">
        <v>44123.89745113426</v>
      </c>
      <c r="G146" s="1">
        <v>8181.9667973753303</v>
      </c>
      <c r="H146" s="1">
        <v>73.351591561500001</v>
      </c>
      <c r="I146" s="1">
        <v>691.06700000000001</v>
      </c>
      <c r="J146" s="1" t="s">
        <v>281</v>
      </c>
      <c r="K146" s="1" t="str">
        <f t="shared" si="61"/>
        <v>['5.5 133 km SSE of Sand Point, Alaska',54.2393,-159.6532],</v>
      </c>
      <c r="L146" s="1" t="str">
        <f t="shared" si="62"/>
        <v>[54.2393, -159.6532,15.52,'2020-10-19 21:32:20', 73.3515915615, 691.067, 'M5.5 133 km SSE of Sand Point, Alaska','https://earthquake.usgs.gov/earthquakes/eventpage/us6000c9km/executive']</v>
      </c>
    </row>
    <row r="147" spans="1:12" x14ac:dyDescent="0.25">
      <c r="A147" s="1">
        <v>7.5</v>
      </c>
      <c r="B147" s="1" t="s">
        <v>282</v>
      </c>
      <c r="C147" s="1">
        <v>54.661999999999999</v>
      </c>
      <c r="D147" s="1">
        <v>-159.67519999999999</v>
      </c>
      <c r="E147" s="1">
        <v>40.119999999999997</v>
      </c>
      <c r="F147" s="11">
        <v>44123.871301817133</v>
      </c>
      <c r="G147" s="1">
        <v>8137.3152903693499</v>
      </c>
      <c r="H147" s="1">
        <v>72.950469930599994</v>
      </c>
      <c r="I147" s="1">
        <v>685.22199999999998</v>
      </c>
      <c r="J147" s="1" t="s">
        <v>283</v>
      </c>
      <c r="K147" s="1" t="str">
        <f t="shared" si="61"/>
        <v>['7.5 91 km SE of Sand Point, Alaska',54.662,-159.6752],</v>
      </c>
      <c r="L147" s="1" t="str">
        <f t="shared" si="62"/>
        <v>[54.662, -159.6752,40.12,'2020-10-19 20:54:40', 72.9504699306, 685.222, 'M7.5 91 km SE of Sand Point, Alaska','https://earthquake.usgs.gov/earthquakes/eventpage/us6000c9hg/executive']</v>
      </c>
    </row>
    <row r="148" spans="1:12" x14ac:dyDescent="0.25">
      <c r="A148" s="1">
        <v>5.6</v>
      </c>
      <c r="B148" s="1" t="s">
        <v>284</v>
      </c>
      <c r="C148" s="1">
        <v>64.019599999999997</v>
      </c>
      <c r="D148" s="1">
        <v>-22.1159</v>
      </c>
      <c r="E148" s="1">
        <v>10</v>
      </c>
      <c r="F148" s="11">
        <v>44124.571730937503</v>
      </c>
      <c r="G148" s="1">
        <v>1833.0046819254501</v>
      </c>
      <c r="H148" s="1">
        <v>16.450474080500001</v>
      </c>
      <c r="I148" s="1">
        <v>230.874</v>
      </c>
      <c r="J148" s="1" t="s">
        <v>285</v>
      </c>
      <c r="K148" s="1" t="str">
        <f t="shared" ref="K148:K153" si="63">"['" &amp; A148 &amp; " " &amp; B148 &amp; "'," &amp; C148 &amp; "," &amp; D148 &amp; "],"</f>
        <v>['5.6 10 km WSW of Hafnarfjörður, Iceland',64.0196,-22.1159],</v>
      </c>
      <c r="L148" s="1" t="str">
        <f t="shared" ref="L148:L153" si="64">"[" &amp; C148 &amp; ", " &amp; D148 &amp; "," &amp; E148 &amp; ",'" &amp; TEXT(F148,"yyyy-mm-dd hh:mm:ss") &amp; "', " &amp; H148 &amp; ", " &amp; I148 &amp; ", 'M" &amp; A148 &amp; " " &amp; B148 &amp; "','" &amp; J148 &amp; "']"</f>
        <v>[64.0196, -22.1159,10,'2020-10-20 13:43:18', 16.4504740805, 230.874, 'M5.6 10 km WSW of Hafnarfjörður, Iceland','https://earthquake.usgs.gov/earthquakes/eventpage/us6000ca0k/executive']</v>
      </c>
    </row>
    <row r="149" spans="1:12" x14ac:dyDescent="0.25">
      <c r="A149" s="1">
        <v>5.6</v>
      </c>
      <c r="B149" s="1" t="s">
        <v>286</v>
      </c>
      <c r="C149" s="1">
        <v>54.288600000000002</v>
      </c>
      <c r="D149" s="1">
        <v>-159.6651</v>
      </c>
      <c r="E149" s="1">
        <v>13.78</v>
      </c>
      <c r="F149" s="11">
        <v>44124.171610787038</v>
      </c>
      <c r="G149" s="1">
        <v>8176.9339088780198</v>
      </c>
      <c r="H149" s="1">
        <v>73.306374990799995</v>
      </c>
      <c r="I149" s="1">
        <v>691.08500000000004</v>
      </c>
      <c r="J149" s="1" t="s">
        <v>287</v>
      </c>
      <c r="K149" s="1" t="str">
        <f t="shared" si="63"/>
        <v>['5.6 128 km SSE of Sand Point, Alaska',54.2886,-159.6651],</v>
      </c>
      <c r="L149" s="1" t="str">
        <f t="shared" si="64"/>
        <v>[54.2886, -159.6651,13.78,'2020-10-20 04:07:07', 73.3063749908, 691.085, 'M5.6 128 km SSE of Sand Point, Alaska','https://earthquake.usgs.gov/earthquakes/eventpage/us6000c9u7/executive']</v>
      </c>
    </row>
    <row r="150" spans="1:12" x14ac:dyDescent="0.25">
      <c r="A150" s="1">
        <v>5.9</v>
      </c>
      <c r="B150" s="1" t="s">
        <v>278</v>
      </c>
      <c r="C150" s="1">
        <v>54.424300000000002</v>
      </c>
      <c r="D150" s="1">
        <v>-159.95500000000001</v>
      </c>
      <c r="E150" s="1">
        <v>37.33</v>
      </c>
      <c r="F150" s="11">
        <v>44123.906575868059</v>
      </c>
      <c r="G150" s="1">
        <v>8167.8512353460401</v>
      </c>
      <c r="H150" s="1">
        <v>73.224697536299999</v>
      </c>
      <c r="I150" s="1">
        <v>687.15700000000004</v>
      </c>
      <c r="J150" s="1" t="s">
        <v>279</v>
      </c>
      <c r="K150" s="1" t="str">
        <f t="shared" si="63"/>
        <v>['5.9 107 km SSE of Sand Point, Alaska',54.4243,-159.955],</v>
      </c>
      <c r="L150" s="1" t="str">
        <f t="shared" si="64"/>
        <v>[54.4243, -159.955,37.33,'2020-10-19 21:45:28', 73.2246975363, 687.157, 'M5.9 107 km SSE of Sand Point, Alaska','https://earthquake.usgs.gov/earthquakes/eventpage/us6000c9lf/executive']</v>
      </c>
    </row>
    <row r="151" spans="1:12" x14ac:dyDescent="0.25">
      <c r="A151" s="1">
        <v>5.5</v>
      </c>
      <c r="B151" s="1" t="s">
        <v>280</v>
      </c>
      <c r="C151" s="1">
        <v>54.2393</v>
      </c>
      <c r="D151" s="1">
        <v>-159.6532</v>
      </c>
      <c r="E151" s="1">
        <v>15.52</v>
      </c>
      <c r="F151" s="11">
        <v>44123.89745113426</v>
      </c>
      <c r="G151" s="1">
        <v>8181.9667973753303</v>
      </c>
      <c r="H151" s="1">
        <v>73.351591561500001</v>
      </c>
      <c r="I151" s="1">
        <v>691.06700000000001</v>
      </c>
      <c r="J151" s="1" t="s">
        <v>281</v>
      </c>
      <c r="K151" s="1" t="str">
        <f t="shared" si="63"/>
        <v>['5.5 133 km SSE of Sand Point, Alaska',54.2393,-159.6532],</v>
      </c>
      <c r="L151" s="1" t="str">
        <f t="shared" si="64"/>
        <v>[54.2393, -159.6532,15.52,'2020-10-19 21:32:20', 73.3515915615, 691.067, 'M5.5 133 km SSE of Sand Point, Alaska','https://earthquake.usgs.gov/earthquakes/eventpage/us6000c9km/executive']</v>
      </c>
    </row>
    <row r="152" spans="1:12" x14ac:dyDescent="0.25">
      <c r="A152" s="1">
        <v>5.7</v>
      </c>
      <c r="B152" s="1" t="s">
        <v>288</v>
      </c>
      <c r="C152" s="1">
        <v>54.6663</v>
      </c>
      <c r="D152" s="1">
        <v>-159.63929999999999</v>
      </c>
      <c r="E152" s="1">
        <v>34.39</v>
      </c>
      <c r="F152" s="11">
        <v>44123.879427037034</v>
      </c>
      <c r="G152" s="1">
        <v>8136.1894476330699</v>
      </c>
      <c r="H152" s="1">
        <v>72.940366799200007</v>
      </c>
      <c r="I152" s="1">
        <v>685.82500000000005</v>
      </c>
      <c r="J152" s="1" t="s">
        <v>289</v>
      </c>
      <c r="K152" s="1" t="str">
        <f t="shared" si="63"/>
        <v>['5.7 92 km SE of Sand Point, Alaska',54.6663,-159.6393],</v>
      </c>
      <c r="L152" s="1" t="str">
        <f t="shared" si="64"/>
        <v>[54.6663, -159.6393,34.39,'2020-10-19 21:06:22', 72.9403667992, 685.825, 'M5.7 92 km SE of Sand Point, Alaska','https://earthquake.usgs.gov/earthquakes/eventpage/us6000c9lb/executive']</v>
      </c>
    </row>
    <row r="153" spans="1:12" x14ac:dyDescent="0.25">
      <c r="A153" s="1">
        <v>7.6</v>
      </c>
      <c r="B153" s="1" t="s">
        <v>290</v>
      </c>
      <c r="C153" s="1">
        <v>54.607900000000001</v>
      </c>
      <c r="D153" s="1">
        <v>-159.65520000000001</v>
      </c>
      <c r="E153" s="1">
        <v>33.25</v>
      </c>
      <c r="F153" s="11">
        <v>44123.871292476855</v>
      </c>
      <c r="G153" s="1">
        <v>8142.7104010734101</v>
      </c>
      <c r="H153" s="1">
        <v>72.998939725400007</v>
      </c>
      <c r="I153" s="1">
        <v>686.33600000000001</v>
      </c>
      <c r="J153" s="1" t="s">
        <v>283</v>
      </c>
      <c r="K153" s="1" t="str">
        <f t="shared" si="63"/>
        <v>['7.6 97 km SSE of Sand Point, Alaska',54.6079,-159.6552],</v>
      </c>
      <c r="L153" s="1" t="str">
        <f t="shared" si="64"/>
        <v>[54.6079, -159.6552,33.25,'2020-10-19 20:54:40', 72.9989397254, 686.336, 'M7.6 97 km SSE of Sand Point, Alaska','https://earthquake.usgs.gov/earthquakes/eventpage/us6000c9hg/executive']</v>
      </c>
    </row>
    <row r="154" spans="1:12" x14ac:dyDescent="0.25">
      <c r="A154" s="1">
        <v>5.9</v>
      </c>
      <c r="B154" s="1" t="s">
        <v>291</v>
      </c>
      <c r="C154" s="1">
        <v>-19.319099999999999</v>
      </c>
      <c r="D154" s="1">
        <v>-172.38839999999999</v>
      </c>
      <c r="E154" s="1">
        <v>10</v>
      </c>
      <c r="F154" s="11">
        <v>44125.015670462963</v>
      </c>
      <c r="G154" s="1">
        <v>16392.948590223401</v>
      </c>
      <c r="H154" s="1">
        <v>147.44828439400001</v>
      </c>
      <c r="I154" s="1">
        <v>1035.6880000000001</v>
      </c>
      <c r="J154" s="1" t="s">
        <v>292</v>
      </c>
      <c r="K154" s="1" t="str">
        <f t="shared" ref="K154" si="65">"['" &amp; A154 &amp; " " &amp; B154 &amp; "'," &amp; C154 &amp; "," &amp; D154 &amp; "],"</f>
        <v>['5.9 183 km ESE of Neiafu, Tonga',-19.3191,-172.3884],</v>
      </c>
      <c r="L154" s="1" t="str">
        <f t="shared" ref="L154" si="66">"[" &amp; C154 &amp; ", " &amp; D154 &amp; "," &amp; E154 &amp; ",'" &amp; TEXT(F154,"yyyy-mm-dd hh:mm:ss") &amp; "', " &amp; H154 &amp; ", " &amp; I154 &amp; ", 'M" &amp; A154 &amp; " " &amp; B154 &amp; "','" &amp; J154 &amp; "']"</f>
        <v>[-19.3191, -172.3884,10,'2020-10-21 00:22:34', 147.448284394, 1035.688, 'M5.9 183 km ESE of Neiafu, Tonga','https://earthquake.usgs.gov/earthquakes/eventpage/us6000cafc/executive']</v>
      </c>
    </row>
    <row r="155" spans="1:12" x14ac:dyDescent="0.25">
      <c r="A155" s="1">
        <v>4.7</v>
      </c>
      <c r="B155" s="1" t="s">
        <v>129</v>
      </c>
      <c r="C155" s="1">
        <v>52.689</v>
      </c>
      <c r="D155" s="1">
        <v>-35.127699999999997</v>
      </c>
      <c r="E155" s="1">
        <v>10</v>
      </c>
      <c r="F155" s="11">
        <v>44126.500566770832</v>
      </c>
      <c r="G155" s="1">
        <v>2083.4679227269498</v>
      </c>
      <c r="H155" s="1">
        <v>18.678595742399999</v>
      </c>
      <c r="I155" s="1">
        <v>258.21199999999999</v>
      </c>
      <c r="J155" s="1" t="s">
        <v>293</v>
      </c>
      <c r="K155" s="1" t="str">
        <f t="shared" ref="K155:K157" si="67">"['" &amp; A155 &amp; " " &amp; B155 &amp; "'," &amp; C155 &amp; "," &amp; D155 &amp; "],"</f>
        <v>['4.7 Reykjanes Ridge',52.689,-35.1277],</v>
      </c>
      <c r="L155" s="1" t="str">
        <f t="shared" ref="L155:L157" si="68">"[" &amp; C155 &amp; ", " &amp; D155 &amp; "," &amp; E155 &amp; ",'" &amp; TEXT(F155,"yyyy-mm-dd hh:mm:ss") &amp; "', " &amp; H155 &amp; ", " &amp; I155 &amp; ", 'M" &amp; A155 &amp; " " &amp; B155 &amp; "','" &amp; J155 &amp; "']"</f>
        <v>[52.689, -35.1277,10,'2020-10-22 12:00:49', 18.6785957424, 258.212, 'M4.7 Reykjanes Ridge','https://earthquake.usgs.gov/earthquakes/eventpage/us6000cbar/executive']</v>
      </c>
    </row>
    <row r="156" spans="1:12" x14ac:dyDescent="0.25">
      <c r="A156" s="1">
        <v>5.8</v>
      </c>
      <c r="B156" s="1" t="s">
        <v>294</v>
      </c>
      <c r="C156" s="1">
        <v>-20.877800000000001</v>
      </c>
      <c r="D156" s="1">
        <v>-176.60740000000001</v>
      </c>
      <c r="E156" s="1">
        <v>237.63</v>
      </c>
      <c r="F156" s="11">
        <v>44126.350080925928</v>
      </c>
      <c r="G156" s="1">
        <v>16660.827903040201</v>
      </c>
      <c r="H156" s="1">
        <v>149.86790898699999</v>
      </c>
      <c r="I156" s="1">
        <v>1019.053</v>
      </c>
      <c r="J156" s="1" t="s">
        <v>295</v>
      </c>
      <c r="K156" s="1" t="str">
        <f t="shared" si="67"/>
        <v>['5.8 148 km WNW of Haveluloto, Tonga',-20.8778,-176.6074],</v>
      </c>
      <c r="L156" s="1" t="str">
        <f t="shared" si="68"/>
        <v>[-20.8778, -176.6074,237.63,'2020-10-22 08:24:07', 149.867908987, 1019.053, 'M5.8 148 km WNW of Haveluloto, Tonga','https://earthquake.usgs.gov/earthquakes/eventpage/us6000cb8b/executive']</v>
      </c>
    </row>
    <row r="157" spans="1:12" x14ac:dyDescent="0.25">
      <c r="A157" s="1">
        <v>5.2</v>
      </c>
      <c r="B157" s="1" t="s">
        <v>296</v>
      </c>
      <c r="C157" s="1">
        <v>37.3249</v>
      </c>
      <c r="D157" s="1">
        <v>20.506900000000002</v>
      </c>
      <c r="E157" s="1">
        <v>6.58</v>
      </c>
      <c r="F157" s="11">
        <v>44125.958964074074</v>
      </c>
      <c r="G157" s="1">
        <v>2496.4717266818002</v>
      </c>
      <c r="H157" s="1">
        <v>22.416416687600002</v>
      </c>
      <c r="I157" s="1">
        <v>299.202</v>
      </c>
      <c r="J157" s="1" t="s">
        <v>297</v>
      </c>
      <c r="K157" s="1" t="str">
        <f t="shared" si="67"/>
        <v>['5.2 52 km SSW of Lithakiá, Greece',37.3249,20.5069],</v>
      </c>
      <c r="L157" s="1" t="str">
        <f t="shared" si="68"/>
        <v>[37.3249, 20.5069,6.58,'2020-10-21 23:00:54', 22.4164166876, 299.202, 'M5.2 52 km SSW of Lithakiá, Greece','https://earthquake.usgs.gov/earthquakes/eventpage/us6000cb28/executive']</v>
      </c>
    </row>
    <row r="158" spans="1:12" x14ac:dyDescent="0.25">
      <c r="A158" s="1">
        <v>5.0999999999999996</v>
      </c>
      <c r="B158" s="1" t="s">
        <v>129</v>
      </c>
      <c r="C158" s="1">
        <v>52.695799999999998</v>
      </c>
      <c r="D158" s="1">
        <v>-34.984099999999998</v>
      </c>
      <c r="E158" s="1">
        <v>10</v>
      </c>
      <c r="F158" s="11">
        <v>44126.962877337966</v>
      </c>
      <c r="G158" s="1">
        <v>2073.7291980397299</v>
      </c>
      <c r="H158" s="1">
        <v>18.591295440700002</v>
      </c>
      <c r="I158" s="1">
        <v>257.25200000000001</v>
      </c>
      <c r="J158" s="1" t="s">
        <v>298</v>
      </c>
      <c r="K158" s="1" t="str">
        <f t="shared" ref="K158" si="69">"['" &amp; A158 &amp; " " &amp; B158 &amp; "'," &amp; C158 &amp; "," &amp; D158 &amp; "],"</f>
        <v>['5.1 Reykjanes Ridge',52.6958,-34.9841],</v>
      </c>
      <c r="L158" s="1" t="str">
        <f t="shared" ref="L158" si="70">"[" &amp; C158 &amp; ", " &amp; D158 &amp; "," &amp; E158 &amp; ",'" &amp; TEXT(F158,"yyyy-mm-dd hh:mm:ss") &amp; "', " &amp; H158 &amp; ", " &amp; I158 &amp; ", 'M" &amp; A158 &amp; " " &amp; B158 &amp; "','" &amp; J158 &amp; "']"</f>
        <v>[52.6958, -34.9841,10,'2020-10-22 23:06:33', 18.5912954407, 257.252, 'M5.1 Reykjanes Ridge','https://earthquake.usgs.gov/earthquakes/eventpage/us6000cbt3/executive']</v>
      </c>
    </row>
    <row r="159" spans="1:12" x14ac:dyDescent="0.25">
      <c r="A159" s="1">
        <v>4.5</v>
      </c>
      <c r="B159" s="1" t="s">
        <v>299</v>
      </c>
      <c r="C159" s="1">
        <v>54.049500000000002</v>
      </c>
      <c r="D159" s="1">
        <v>-159.65770000000001</v>
      </c>
      <c r="E159" s="1">
        <v>14.24</v>
      </c>
      <c r="F159" s="11">
        <v>44131.587606400462</v>
      </c>
      <c r="G159" s="1">
        <v>8202.2862047395101</v>
      </c>
      <c r="H159" s="1">
        <v>73.534133720100002</v>
      </c>
      <c r="I159" s="1">
        <v>692.35199999999998</v>
      </c>
      <c r="J159" s="1" t="s">
        <v>300</v>
      </c>
      <c r="K159" s="1" t="str">
        <f t="shared" ref="K159" si="71">"['" &amp; A159 &amp; " " &amp; B159 &amp; "'," &amp; C159 &amp; "," &amp; D159 &amp; "],"</f>
        <v>['4.5 153 km SSE of Sand Point, Alaska',54.0495,-159.6577],</v>
      </c>
      <c r="L159" s="1" t="str">
        <f t="shared" ref="L159" si="72">"[" &amp; C159 &amp; ", " &amp; D159 &amp; "," &amp; E159 &amp; ",'" &amp; TEXT(F159,"yyyy-mm-dd hh:mm:ss") &amp; "', " &amp; H159 &amp; ", " &amp; I159 &amp; ", 'M" &amp; A159 &amp; " " &amp; B159 &amp; "','" &amp; J159 &amp; "']"</f>
        <v>[54.0495, -159.6577,14.24,'2020-10-27 14:06:09', 73.5341337201, 692.352, 'M4.5 153 km SSE of Sand Point, Alaska','https://earthquake.usgs.gov/earthquakes/eventpage/us6000cdrk/executive']</v>
      </c>
    </row>
    <row r="160" spans="1:12" x14ac:dyDescent="0.25">
      <c r="A160" s="1">
        <v>5.0999999999999996</v>
      </c>
      <c r="B160" s="1" t="s">
        <v>301</v>
      </c>
      <c r="C160" s="1">
        <v>54.555199999999999</v>
      </c>
      <c r="D160" s="1">
        <v>-159.66200000000001</v>
      </c>
      <c r="E160" s="1">
        <v>31.28</v>
      </c>
      <c r="F160" s="11">
        <v>44134.192008356484</v>
      </c>
      <c r="G160" s="1">
        <v>8148.4548163744303</v>
      </c>
      <c r="H160" s="1">
        <v>73.050540111100005</v>
      </c>
      <c r="I160" s="1">
        <v>686.92600000000004</v>
      </c>
      <c r="J160" s="1" t="s">
        <v>302</v>
      </c>
      <c r="K160" s="1" t="str">
        <f t="shared" ref="K160:K161" si="73">"['" &amp; A160 &amp; " " &amp; B160 &amp; "'," &amp; C160 &amp; "," &amp; D160 &amp; "],"</f>
        <v>['5.1 102 km SSE of Sand Point, Alaska',54.5552,-159.662],</v>
      </c>
      <c r="L160" s="1" t="str">
        <f t="shared" ref="L160:L161" si="74">"[" &amp; C160 &amp; ", " &amp; D160 &amp; "," &amp; E160 &amp; ",'" &amp; TEXT(F160,"yyyy-mm-dd hh:mm:ss") &amp; "', " &amp; H160 &amp; ", " &amp; I160 &amp; ", 'M" &amp; A160 &amp; " " &amp; B160 &amp; "','" &amp; J160 &amp; "']"</f>
        <v>[54.5552, -159.662,31.28,'2020-10-30 04:36:30', 73.0505401111, 686.926, 'M5.1 102 km SSE of Sand Point, Alaska','https://earthquake.usgs.gov/earthquakes/eventpage/us7000c7v4/executive']</v>
      </c>
    </row>
    <row r="161" spans="1:12" x14ac:dyDescent="0.25">
      <c r="A161" s="1">
        <v>5.3</v>
      </c>
      <c r="B161" s="1" t="s">
        <v>61</v>
      </c>
      <c r="C161" s="1">
        <v>-20.8916</v>
      </c>
      <c r="D161" s="1">
        <v>-178.5061</v>
      </c>
      <c r="E161" s="1">
        <v>580.1</v>
      </c>
      <c r="F161" s="11">
        <v>44134.107199849539</v>
      </c>
      <c r="G161" s="1">
        <v>16695.653196364801</v>
      </c>
      <c r="H161" s="1">
        <v>150.18284109499999</v>
      </c>
      <c r="I161" s="1">
        <v>986.01400000000001</v>
      </c>
      <c r="J161" s="1" t="s">
        <v>303</v>
      </c>
      <c r="K161" s="1" t="str">
        <f t="shared" si="73"/>
        <v>['5.3 Fiji region',-20.8916,-178.5061],</v>
      </c>
      <c r="L161" s="1" t="str">
        <f t="shared" si="74"/>
        <v>[-20.8916, -178.5061,580.1,'2020-10-30 02:34:22', 150.182841095, 986.014, 'M5.3 Fiji region','https://earthquake.usgs.gov/earthquakes/eventpage/us7000c7tm/executive']</v>
      </c>
    </row>
    <row r="162" spans="1:12" x14ac:dyDescent="0.25">
      <c r="A162" s="1">
        <v>7</v>
      </c>
      <c r="B162" s="1" t="s">
        <v>304</v>
      </c>
      <c r="C162" s="1">
        <v>37.917499999999997</v>
      </c>
      <c r="D162" s="1">
        <v>26.790099999999999</v>
      </c>
      <c r="E162" s="1">
        <v>21</v>
      </c>
      <c r="F162" s="11">
        <v>44134.494069016204</v>
      </c>
      <c r="G162" s="1">
        <v>2872.8348807937</v>
      </c>
      <c r="H162" s="1">
        <v>25.7859016291</v>
      </c>
      <c r="I162" s="1">
        <v>329.39</v>
      </c>
      <c r="J162" s="1" t="s">
        <v>305</v>
      </c>
      <c r="K162" s="1" t="str">
        <f t="shared" ref="K162" si="75">"['" &amp; A162 &amp; " " &amp; B162 &amp; "'," &amp; C162 &amp; "," &amp; D162 &amp; "],"</f>
        <v>['7 15 km NNE of Néon Karlovásion, Greece',37.9175,26.7901],</v>
      </c>
      <c r="L162" s="1" t="str">
        <f t="shared" ref="L162" si="76">"[" &amp; C162 &amp; ", " &amp; D162 &amp; "," &amp; E162 &amp; ",'" &amp; TEXT(F162,"yyyy-mm-dd hh:mm:ss") &amp; "', " &amp; H162 &amp; ", " &amp; I162 &amp; ", 'M" &amp; A162 &amp; " " &amp; B162 &amp; "','" &amp; J162 &amp; "']"</f>
        <v>[37.9175, 26.7901,21,'2020-10-30 11:51:28', 25.7859016291, 329.39, 'M7 15 km NNE of Néon Karlovásion, Greece','https://earthquake.usgs.gov/earthquakes/eventpage/us7000c7y0/executive']</v>
      </c>
    </row>
  </sheetData>
  <sortState ref="A2:L103">
    <sortCondition ref="F2:F103"/>
  </sortState>
  <hyperlinks>
    <hyperlink ref="J7" r:id="rId1"/>
    <hyperlink ref="J8" r:id="rId2"/>
    <hyperlink ref="J113" r:id="rId3"/>
    <hyperlink ref="J115" r:id="rId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Legend</vt:lpstr>
      <vt:lpstr>Data</vt:lpstr>
      <vt:lpstr>Depth-Distance</vt:lpstr>
      <vt:lpstr>Magnitude-Distance</vt:lpstr>
      <vt:lpstr>Magnitude-Time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cp:lastPrinted>2020-07-22T20:17:17Z</cp:lastPrinted>
  <dcterms:created xsi:type="dcterms:W3CDTF">2020-06-24T19:26:29Z</dcterms:created>
  <dcterms:modified xsi:type="dcterms:W3CDTF">2020-10-31T21:25:15Z</dcterms:modified>
</cp:coreProperties>
</file>